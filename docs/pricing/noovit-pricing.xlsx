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eric competitors" sheetId="1" state="visible" r:id="rId1"/>
    <sheet name="Turmeric tiers" sheetId="2" state="visible" r:id="rId2"/>
    <sheet name="Turmeric profit" sheetId="3" state="visible" r:id="rId3"/>
    <sheet name="Berberine competitors" sheetId="4" state="visible" r:id="rId4"/>
    <sheet name="Berberine tiers" sheetId="5" state="visible" r:id="rId5"/>
    <sheet name="Berberine profit" sheetId="6" state="visible" r:id="rId6"/>
    <sheet name="Lion's Mane competitors" sheetId="7" state="visible" r:id="rId7"/>
    <sheet name="Lion's Mane tiers" sheetId="8" state="visible" r:id="rId8"/>
    <sheet name="Lion's Mane profit" sheetId="9" state="visible" r:id="rId9"/>
    <sheet name="Methylene Blue competitors" sheetId="10" state="visible" r:id="rId10"/>
    <sheet name="Methylene Blue tiers" sheetId="11" state="visible" r:id="rId11"/>
    <sheet name="Methylene Blue profit" sheetId="12" state="visible" r:id="rId12"/>
    <sheet name="NAD+ competitors" sheetId="13" state="visible" r:id="rId13"/>
    <sheet name="NAD+ tiers" sheetId="14" state="visible" r:id="rId14"/>
    <sheet name="NAD+ profit" sheetId="15" state="visible" r:id="rId15"/>
    <sheet name="Ashwagandha competitors" sheetId="16" state="visible" r:id="rId16"/>
    <sheet name="Ashwagandha tiers" sheetId="17" state="visible" r:id="rId17"/>
    <sheet name="Ashwagandha profi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i val="1"/>
      <color rgb="005B6472"/>
    </font>
    <font>
      <b val="1"/>
      <color rgb="00FFFFFF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F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  <xf numFmtId="9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8" customWidth="1" min="8" max="8"/>
    <col width="10" customWidth="1" min="9" max="9"/>
    <col width="7" customWidth="1" min="10" max="10"/>
    <col width="8" customWidth="1" min="11" max="11"/>
    <col width="18" customWidth="1" min="12" max="12"/>
    <col width="10" customWidth="1" min="13" max="13"/>
    <col width="38" customWidth="1" min="14" max="14"/>
    <col width="26" customWidth="1" min="15" max="15"/>
    <col width="22" customWidth="1" min="16" max="16"/>
  </cols>
  <sheetData>
    <row r="1">
      <c r="A1" s="1" t="inlineStr">
        <is>
          <t>Google Shopping, 'turmeric tablets', Denver CO, 28 Oct 2026 (sponsored carousel). Servings/day marked ~ are assumed.</t>
        </is>
      </c>
    </row>
    <row r="2">
      <c r="A2" s="2" t="inlineStr">
        <is>
          <t>#</t>
        </is>
      </c>
      <c r="B2" s="2" t="inlineStr">
        <is>
          <t>Brand</t>
        </is>
      </c>
      <c r="C2" s="2" t="inlineStr">
        <is>
          <t>Product</t>
        </is>
      </c>
      <c r="D2" s="2" t="inlineStr">
        <is>
          <t>Format</t>
        </is>
      </c>
      <c r="E2" s="2" t="inlineStr">
        <is>
          <t>Count</t>
        </is>
      </c>
      <c r="F2" s="2" t="inlineStr">
        <is>
          <t>Servings (days)</t>
        </is>
      </c>
      <c r="G2" s="2" t="inlineStr">
        <is>
          <t>Price $</t>
        </is>
      </c>
      <c r="H2" s="2" t="inlineStr">
        <is>
          <t>Was $</t>
        </is>
      </c>
      <c r="I2" s="2" t="inlineStr">
        <is>
          <t>Price per day $</t>
        </is>
      </c>
      <c r="J2" s="2" t="inlineStr">
        <is>
          <t>Rating</t>
        </is>
      </c>
      <c r="K2" s="2" t="inlineStr">
        <is>
          <t>Reviews</t>
        </is>
      </c>
      <c r="L2" s="2" t="inlineStr">
        <is>
          <t>Seller</t>
        </is>
      </c>
      <c r="M2" s="2" t="inlineStr">
        <is>
          <t>Tier</t>
        </is>
      </c>
      <c r="N2" s="2" t="inlineStr">
        <is>
          <t>Lead angle / badges</t>
        </is>
      </c>
      <c r="O2" s="2" t="inlineStr">
        <is>
          <t>Look</t>
        </is>
      </c>
      <c r="P2" s="2" t="inlineStr">
        <is>
          <t>Notes</t>
        </is>
      </c>
    </row>
    <row r="3">
      <c r="A3" t="n">
        <v>1</v>
      </c>
      <c r="B3" t="inlineStr">
        <is>
          <t>Swanson</t>
        </is>
      </c>
      <c r="C3" t="inlineStr">
        <is>
          <t>Full Spectrum Turmeric 720 mg</t>
        </is>
      </c>
      <c r="D3" t="inlineStr">
        <is>
          <t>Capsule</t>
        </is>
      </c>
      <c r="E3" t="n">
        <v>30</v>
      </c>
      <c r="F3" t="n">
        <v>30</v>
      </c>
      <c r="G3" s="3" t="n">
        <v>5.99</v>
      </c>
      <c r="H3" s="3" t="n"/>
      <c r="I3" s="3">
        <f>IF(F3="","",ROUND(G3/F3,2))</f>
        <v/>
      </c>
      <c r="J3" t="n">
        <v>4.8</v>
      </c>
      <c r="K3" t="inlineStr">
        <is>
          <t>3k+</t>
        </is>
      </c>
      <c r="L3" t="inlineStr">
        <is>
          <t>Swanson</t>
        </is>
      </c>
      <c r="M3" t="inlineStr">
        <is>
          <t>Value</t>
        </is>
      </c>
      <c r="N3" t="inlineStr">
        <is>
          <t>Whole root, joint &amp; mobility</t>
        </is>
      </c>
      <c r="O3" t="inlineStr">
        <is>
          <t>Green, busy</t>
        </is>
      </c>
      <c r="P3" t="inlineStr"/>
    </row>
    <row r="4">
      <c r="A4" t="n">
        <v>2</v>
      </c>
      <c r="B4" t="inlineStr">
        <is>
          <t>ProHealth</t>
        </is>
      </c>
      <c r="C4" t="inlineStr">
        <is>
          <t>Optimized Curcumin Body &amp; Joint</t>
        </is>
      </c>
      <c r="D4" t="inlineStr">
        <is>
          <t>Capsule</t>
        </is>
      </c>
      <c r="E4" t="n">
        <v>60</v>
      </c>
      <c r="F4" t="n">
        <v>60</v>
      </c>
      <c r="G4" s="3" t="n">
        <v>10.2</v>
      </c>
      <c r="H4" s="3" t="n">
        <v>25</v>
      </c>
      <c r="I4" s="3">
        <f>IF(F4="","",ROUND(G4/F4,2))</f>
        <v/>
      </c>
      <c r="J4" t="n">
        <v>4.6</v>
      </c>
      <c r="K4" t="inlineStr">
        <is>
          <t>77</t>
        </is>
      </c>
      <c r="L4" t="inlineStr">
        <is>
          <t>ProHealth</t>
        </is>
      </c>
      <c r="M4" t="inlineStr">
        <is>
          <t>Value</t>
        </is>
      </c>
      <c r="N4" t="inlineStr">
        <is>
          <t>59% OFF</t>
        </is>
      </c>
      <c r="O4" t="inlineStr">
        <is>
          <t>Navy + stripe</t>
        </is>
      </c>
      <c r="P4" t="inlineStr">
        <is>
          <t>~servings</t>
        </is>
      </c>
    </row>
    <row r="5">
      <c r="A5" t="n">
        <v>3</v>
      </c>
      <c r="B5" t="inlineStr">
        <is>
          <t>California Gold Nutrition</t>
        </is>
      </c>
      <c r="C5" t="inlineStr">
        <is>
          <t>Curcumin 95</t>
        </is>
      </c>
      <c r="D5" t="inlineStr">
        <is>
          <t>Capsule</t>
        </is>
      </c>
      <c r="E5" t="n">
        <v>30</v>
      </c>
      <c r="F5" t="n">
        <v>30</v>
      </c>
      <c r="G5" s="3" t="n">
        <v>10.27</v>
      </c>
      <c r="H5" s="3" t="n"/>
      <c r="I5" s="3">
        <f>IF(F5="","",ROUND(G5/F5,2))</f>
        <v/>
      </c>
      <c r="J5" t="n">
        <v>4.8</v>
      </c>
      <c r="K5" t="inlineStr">
        <is>
          <t>1k+</t>
        </is>
      </c>
      <c r="L5" t="inlineStr">
        <is>
          <t>iHerb</t>
        </is>
      </c>
      <c r="M5" t="inlineStr">
        <is>
          <t>Value</t>
        </is>
      </c>
      <c r="N5" t="inlineStr">
        <is>
          <t>95% curcuminoids</t>
        </is>
      </c>
      <c r="O5" t="inlineStr">
        <is>
          <t>White/gold</t>
        </is>
      </c>
      <c r="P5" t="inlineStr"/>
    </row>
    <row r="6">
      <c r="A6" t="n">
        <v>4</v>
      </c>
      <c r="B6" t="inlineStr">
        <is>
          <t>Swanson</t>
        </is>
      </c>
      <c r="C6" t="inlineStr">
        <is>
          <t>Turmeric &amp; Black Pepper</t>
        </is>
      </c>
      <c r="D6" t="inlineStr">
        <is>
          <t>Capsule</t>
        </is>
      </c>
      <c r="E6" t="n">
        <v>90</v>
      </c>
      <c r="F6" t="n">
        <v>90</v>
      </c>
      <c r="G6" s="3" t="n">
        <v>13.49</v>
      </c>
      <c r="H6" s="3" t="n"/>
      <c r="I6" s="3">
        <f>IF(F6="","",ROUND(G6/F6,2))</f>
        <v/>
      </c>
      <c r="J6" t="n">
        <v>4.8</v>
      </c>
      <c r="K6" t="inlineStr"/>
      <c r="L6" t="inlineStr">
        <is>
          <t>Swanson</t>
        </is>
      </c>
      <c r="M6" t="inlineStr">
        <is>
          <t>Value</t>
        </is>
      </c>
      <c r="N6" t="inlineStr">
        <is>
          <t>Black pepper</t>
        </is>
      </c>
      <c r="O6" t="inlineStr">
        <is>
          <t>Green</t>
        </is>
      </c>
      <c r="P6" t="inlineStr">
        <is>
          <t>~servings</t>
        </is>
      </c>
    </row>
    <row r="7">
      <c r="A7" t="n">
        <v>5</v>
      </c>
      <c r="B7" t="inlineStr">
        <is>
          <t>Nature Made</t>
        </is>
      </c>
      <c r="C7" t="inlineStr">
        <is>
          <t>Turmeric 500 mg</t>
        </is>
      </c>
      <c r="D7" t="inlineStr">
        <is>
          <t>Capsule</t>
        </is>
      </c>
      <c r="E7" t="n">
        <v>60</v>
      </c>
      <c r="F7" t="n">
        <v>60</v>
      </c>
      <c r="G7" s="3" t="n">
        <v>13.99</v>
      </c>
      <c r="H7" s="3" t="n"/>
      <c r="I7" s="3">
        <f>IF(F7="","",ROUND(G7/F7,2))</f>
        <v/>
      </c>
      <c r="J7" t="n">
        <v>4.7</v>
      </c>
      <c r="K7" t="inlineStr">
        <is>
          <t>906</t>
        </is>
      </c>
      <c r="L7" t="inlineStr">
        <is>
          <t>Nature Made</t>
        </is>
      </c>
      <c r="M7" t="inlineStr">
        <is>
          <t>Value</t>
        </is>
      </c>
      <c r="N7" t="inlineStr">
        <is>
          <t>USP verified, pharmacist recommended</t>
        </is>
      </c>
      <c r="O7" t="inlineStr">
        <is>
          <t>Yellow/green, busy</t>
        </is>
      </c>
      <c r="P7" t="inlineStr">
        <is>
          <t>~servings</t>
        </is>
      </c>
    </row>
    <row r="8">
      <c r="A8" t="n">
        <v>6</v>
      </c>
      <c r="B8" t="inlineStr">
        <is>
          <t>Nutrition Geeks</t>
        </is>
      </c>
      <c r="C8" t="inlineStr">
        <is>
          <t>Turmeric Tablets 2000 mg</t>
        </is>
      </c>
      <c r="D8" t="inlineStr">
        <is>
          <t>Tablet (pouch)</t>
        </is>
      </c>
      <c r="E8" t="n">
        <v>120</v>
      </c>
      <c r="F8" t="n">
        <v>120</v>
      </c>
      <c r="G8" s="3" t="n">
        <v>14.05</v>
      </c>
      <c r="H8" s="3" t="n">
        <v>20</v>
      </c>
      <c r="I8" s="3">
        <f>IF(F8="","",ROUND(G8/F8,2))</f>
        <v/>
      </c>
      <c r="J8" t="n">
        <v>4.6</v>
      </c>
      <c r="K8" t="inlineStr">
        <is>
          <t>4k+</t>
        </is>
      </c>
      <c r="L8" t="inlineStr">
        <is>
          <t>GNMart (reseller)</t>
        </is>
      </c>
      <c r="M8" t="inlineStr">
        <is>
          <t>Value</t>
        </is>
      </c>
      <c r="N8" t="inlineStr">
        <is>
          <t>Made in UK, 2000 mg, SALE</t>
        </is>
      </c>
      <c r="O8" t="inlineStr">
        <is>
          <t>Yellow/teal pouch</t>
        </is>
      </c>
      <c r="P8" t="inlineStr">
        <is>
          <t>~servings</t>
        </is>
      </c>
    </row>
    <row r="9">
      <c r="A9" t="n">
        <v>7</v>
      </c>
      <c r="B9" t="inlineStr">
        <is>
          <t>Life Extension</t>
        </is>
      </c>
      <c r="C9" t="inlineStr">
        <is>
          <t>Curcumin Elite</t>
        </is>
      </c>
      <c r="D9" t="inlineStr">
        <is>
          <t>Capsule</t>
        </is>
      </c>
      <c r="E9" t="n">
        <v>30</v>
      </c>
      <c r="F9" t="n">
        <v>30</v>
      </c>
      <c r="G9" s="3" t="n">
        <v>14.25</v>
      </c>
      <c r="H9" s="3" t="n"/>
      <c r="I9" s="3">
        <f>IF(F9="","",ROUND(G9/F9,2))</f>
        <v/>
      </c>
      <c r="J9" t="n">
        <v>4.8</v>
      </c>
      <c r="K9" t="inlineStr">
        <is>
          <t>3k+</t>
        </is>
      </c>
      <c r="L9" t="inlineStr">
        <is>
          <t>Life Extension</t>
        </is>
      </c>
      <c r="M9" t="inlineStr">
        <is>
          <t>Value</t>
        </is>
      </c>
      <c r="N9" t="inlineStr">
        <is>
          <t>Up to 45.5x bioavailability</t>
        </is>
      </c>
      <c r="O9" t="inlineStr">
        <is>
          <t>Blue</t>
        </is>
      </c>
      <c r="P9" t="inlineStr"/>
    </row>
    <row r="10">
      <c r="A10" t="n">
        <v>8</v>
      </c>
      <c r="B10" t="inlineStr">
        <is>
          <t>NatureWise</t>
        </is>
      </c>
      <c r="C10" t="inlineStr">
        <is>
          <t>Organic Turmeric Curcumin + Ginger</t>
        </is>
      </c>
      <c r="D10" t="inlineStr">
        <is>
          <t>Capsule</t>
        </is>
      </c>
      <c r="E10" t="n">
        <v>90</v>
      </c>
      <c r="F10" t="n">
        <v>30</v>
      </c>
      <c r="G10" s="3" t="n">
        <v>15.44</v>
      </c>
      <c r="H10" s="3" t="n"/>
      <c r="I10" s="3">
        <f>IF(F10="","",ROUND(G10/F10,2))</f>
        <v/>
      </c>
      <c r="J10" t="n">
        <v>4.7</v>
      </c>
      <c r="K10" t="inlineStr">
        <is>
          <t>9k+</t>
        </is>
      </c>
      <c r="L10" t="inlineStr">
        <is>
          <t>iHerb</t>
        </is>
      </c>
      <c r="M10" t="inlineStr">
        <is>
          <t>Value</t>
        </is>
      </c>
      <c r="N10" t="inlineStr">
        <is>
          <t>Organic, 2,250 mg/serving</t>
        </is>
      </c>
      <c r="O10" t="inlineStr">
        <is>
          <t>Red/cream</t>
        </is>
      </c>
      <c r="P10" t="inlineStr"/>
    </row>
    <row r="11">
      <c r="A11" t="n">
        <v>9</v>
      </c>
      <c r="B11" t="inlineStr">
        <is>
          <t>NOW</t>
        </is>
      </c>
      <c r="C11" t="inlineStr">
        <is>
          <t>Turmeric Curcumin</t>
        </is>
      </c>
      <c r="D11" t="inlineStr">
        <is>
          <t>Capsule</t>
        </is>
      </c>
      <c r="E11" t="n">
        <v>60</v>
      </c>
      <c r="F11" t="n">
        <v>45</v>
      </c>
      <c r="G11" s="3" t="n">
        <v>17.14</v>
      </c>
      <c r="H11" s="3" t="n"/>
      <c r="I11" s="3">
        <f>IF(F11="","",ROUND(G11/F11,2))</f>
        <v/>
      </c>
      <c r="J11" t="n">
        <v>4.8</v>
      </c>
      <c r="K11" t="inlineStr">
        <is>
          <t>5k+</t>
        </is>
      </c>
      <c r="L11" t="inlineStr">
        <is>
          <t>iHerb</t>
        </is>
      </c>
      <c r="M11" t="inlineStr">
        <is>
          <t>Value</t>
        </is>
      </c>
      <c r="N11" t="inlineStr">
        <is>
          <t>95% curcuminoids</t>
        </is>
      </c>
      <c r="O11" t="inlineStr">
        <is>
          <t>Orange/green</t>
        </is>
      </c>
      <c r="P11" t="inlineStr">
        <is>
          <t>~servings</t>
        </is>
      </c>
    </row>
    <row r="12">
      <c r="A12" t="n">
        <v>10</v>
      </c>
      <c r="B12" t="inlineStr">
        <is>
          <t>Future Kind</t>
        </is>
      </c>
      <c r="C12" t="inlineStr">
        <is>
          <t>Vegan Organic Turmeric</t>
        </is>
      </c>
      <c r="D12" t="inlineStr">
        <is>
          <t>Capsule</t>
        </is>
      </c>
      <c r="E12" t="n">
        <v>60</v>
      </c>
      <c r="F12" t="n">
        <v>30</v>
      </c>
      <c r="G12" s="3" t="n">
        <v>19</v>
      </c>
      <c r="H12" s="3" t="n"/>
      <c r="I12" s="3">
        <f>IF(F12="","",ROUND(G12/F12,2))</f>
        <v/>
      </c>
      <c r="J12" t="n">
        <v>4.4</v>
      </c>
      <c r="K12" t="inlineStr">
        <is>
          <t>67</t>
        </is>
      </c>
      <c r="L12" t="inlineStr">
        <is>
          <t>Future Kind</t>
        </is>
      </c>
      <c r="M12" t="inlineStr">
        <is>
          <t>Mid</t>
        </is>
      </c>
      <c r="N12" t="inlineStr">
        <is>
          <t>#1 vegan inflammation (claim-heavy title)</t>
        </is>
      </c>
      <c r="O12" t="inlineStr">
        <is>
          <t>Amber glass, cream label</t>
        </is>
      </c>
      <c r="P12" t="inlineStr"/>
    </row>
    <row r="13">
      <c r="A13" t="n">
        <v>11</v>
      </c>
      <c r="B13" t="inlineStr">
        <is>
          <t>Global Healing</t>
        </is>
      </c>
      <c r="C13" t="inlineStr">
        <is>
          <t>Turmeric liquid 2 fl oz</t>
        </is>
      </c>
      <c r="D13" t="inlineStr">
        <is>
          <t>Liquid</t>
        </is>
      </c>
      <c r="G13" s="3" t="n">
        <v>24.95</v>
      </c>
      <c r="H13" s="3" t="n"/>
      <c r="I13" s="3">
        <f>IF(F13="","",ROUND(G13/F13,2))</f>
        <v/>
      </c>
      <c r="J13" t="n">
        <v>4.7</v>
      </c>
      <c r="K13" t="inlineStr">
        <is>
          <t>1k+</t>
        </is>
      </c>
      <c r="L13" t="inlineStr">
        <is>
          <t>Global Healing</t>
        </is>
      </c>
      <c r="M13" t="inlineStr">
        <is>
          <t>Mid</t>
        </is>
      </c>
      <c r="N13" t="inlineStr">
        <is>
          <t>Free gift w/ $75+</t>
        </is>
      </c>
      <c r="O13" t="inlineStr">
        <is>
          <t>Amber dropper</t>
        </is>
      </c>
      <c r="P13" t="inlineStr"/>
    </row>
    <row r="14">
      <c r="A14" t="n">
        <v>12</v>
      </c>
      <c r="B14" t="inlineStr">
        <is>
          <t>Humann</t>
        </is>
      </c>
      <c r="C14" t="inlineStr">
        <is>
          <t>Turmeric Chews</t>
        </is>
      </c>
      <c r="D14" t="inlineStr">
        <is>
          <t>Chew</t>
        </is>
      </c>
      <c r="E14" t="n">
        <v>30</v>
      </c>
      <c r="F14" t="n">
        <v>30</v>
      </c>
      <c r="G14" s="3" t="n">
        <v>26.95</v>
      </c>
      <c r="H14" s="3" t="n"/>
      <c r="I14" s="3">
        <f>IF(F14="","",ROUND(G14/F14,2))</f>
        <v/>
      </c>
      <c r="J14" t="n">
        <v>4.3</v>
      </c>
      <c r="K14" t="inlineStr">
        <is>
          <t>821</t>
        </is>
      </c>
      <c r="L14" t="inlineStr">
        <is>
          <t>Humann</t>
        </is>
      </c>
      <c r="M14" t="inlineStr">
        <is>
          <t>Mid</t>
        </is>
      </c>
      <c r="N14" t="inlineStr">
        <is>
          <t>90-day returns</t>
        </is>
      </c>
      <c r="O14" t="inlineStr">
        <is>
          <t>Red pouch</t>
        </is>
      </c>
      <c r="P14" t="inlineStr"/>
    </row>
    <row r="15">
      <c r="A15" t="n">
        <v>13</v>
      </c>
      <c r="B15" t="inlineStr">
        <is>
          <t>Micro Ingredients</t>
        </is>
      </c>
      <c r="C15" t="inlineStr">
        <is>
          <t>Turmeric 1000 mg</t>
        </is>
      </c>
      <c r="D15" t="inlineStr">
        <is>
          <t>Capsule</t>
        </is>
      </c>
      <c r="E15" t="n">
        <v>120</v>
      </c>
      <c r="F15" t="n">
        <v>90</v>
      </c>
      <c r="G15" s="3" t="n">
        <v>26.95</v>
      </c>
      <c r="H15" s="3" t="n"/>
      <c r="I15" s="3">
        <f>IF(F15="","",ROUND(G15/F15,2))</f>
        <v/>
      </c>
      <c r="K15" t="inlineStr"/>
      <c r="L15" t="inlineStr">
        <is>
          <t>Micro Ingredients</t>
        </is>
      </c>
      <c r="M15" t="inlineStr">
        <is>
          <t>Mid</t>
        </is>
      </c>
      <c r="N15" t="inlineStr">
        <is>
          <t>95% curcumin</t>
        </is>
      </c>
      <c r="O15" t="inlineStr">
        <is>
          <t>White/orange</t>
        </is>
      </c>
      <c r="P15" t="inlineStr">
        <is>
          <t>~servings</t>
        </is>
      </c>
    </row>
    <row r="16">
      <c r="A16" t="n">
        <v>14</v>
      </c>
      <c r="B16" t="inlineStr">
        <is>
          <t>Momentous</t>
        </is>
      </c>
      <c r="C16" t="inlineStr">
        <is>
          <t>Turmeric</t>
        </is>
      </c>
      <c r="D16" t="inlineStr">
        <is>
          <t>Capsule</t>
        </is>
      </c>
      <c r="E16" t="n">
        <v>60</v>
      </c>
      <c r="F16" t="n">
        <v>30</v>
      </c>
      <c r="G16" s="3" t="n">
        <v>29.99</v>
      </c>
      <c r="H16" s="3" t="n">
        <v>40</v>
      </c>
      <c r="I16" s="3">
        <f>IF(F16="","",ROUND(G16/F16,2))</f>
        <v/>
      </c>
      <c r="J16" t="n">
        <v>4.7</v>
      </c>
      <c r="K16" t="inlineStr">
        <is>
          <t>136</t>
        </is>
      </c>
      <c r="L16" t="inlineStr">
        <is>
          <t>Momentous</t>
        </is>
      </c>
      <c r="M16" t="inlineStr">
        <is>
          <t>Premium</t>
        </is>
      </c>
      <c r="N16" t="inlineStr">
        <is>
          <t>25% OFF, 1st order price (subscription)</t>
        </is>
      </c>
      <c r="O16" t="inlineStr">
        <is>
          <t>Minimal white, black type</t>
        </is>
      </c>
      <c r="P16" t="inlineStr">
        <is>
          <t>~servings</t>
        </is>
      </c>
    </row>
    <row r="17">
      <c r="A17" t="n">
        <v>15</v>
      </c>
      <c r="B17" t="inlineStr">
        <is>
          <t>BulkSupplements</t>
        </is>
      </c>
      <c r="C17" t="inlineStr">
        <is>
          <t>Turmeric Curcumin 1000 mg</t>
        </is>
      </c>
      <c r="D17" t="inlineStr">
        <is>
          <t>Capsule</t>
        </is>
      </c>
      <c r="E17" t="n">
        <v>240</v>
      </c>
      <c r="F17" t="n">
        <v>120</v>
      </c>
      <c r="G17" s="3" t="n">
        <v>30.97</v>
      </c>
      <c r="H17" s="3" t="n"/>
      <c r="I17" s="3">
        <f>IF(F17="","",ROUND(G17/F17,2))</f>
        <v/>
      </c>
      <c r="J17" t="n">
        <v>4.6</v>
      </c>
      <c r="K17" t="inlineStr">
        <is>
          <t>1k+</t>
        </is>
      </c>
      <c r="L17" t="inlineStr">
        <is>
          <t>BulkSupplements</t>
        </is>
      </c>
      <c r="M17" t="inlineStr">
        <is>
          <t>Mid</t>
        </is>
      </c>
      <c r="N17" t="inlineStr">
        <is>
          <t>Bulk value</t>
        </is>
      </c>
      <c r="O17" t="inlineStr">
        <is>
          <t>White/orange, loud</t>
        </is>
      </c>
      <c r="P17" t="inlineStr"/>
    </row>
    <row r="18">
      <c r="A18" t="n">
        <v>16</v>
      </c>
      <c r="B18" t="inlineStr">
        <is>
          <t>Paleovalley</t>
        </is>
      </c>
      <c r="C18" t="inlineStr">
        <is>
          <t>Organic Turmeric Complex</t>
        </is>
      </c>
      <c r="D18" t="inlineStr">
        <is>
          <t>Capsule</t>
        </is>
      </c>
      <c r="E18" t="n">
        <v>60</v>
      </c>
      <c r="F18" t="n">
        <v>30</v>
      </c>
      <c r="G18" s="3" t="n">
        <v>34.99</v>
      </c>
      <c r="H18" s="3" t="n"/>
      <c r="I18" s="3">
        <f>IF(F18="","",ROUND(G18/F18,2))</f>
        <v/>
      </c>
      <c r="J18" t="n">
        <v>4.9</v>
      </c>
      <c r="K18" t="inlineStr">
        <is>
          <t>1k+</t>
        </is>
      </c>
      <c r="L18" t="inlineStr">
        <is>
          <t>Paleovalley</t>
        </is>
      </c>
      <c r="M18" t="inlineStr">
        <is>
          <t>Premium</t>
        </is>
      </c>
      <c r="N18" t="inlineStr">
        <is>
          <t>Organic whole food</t>
        </is>
      </c>
      <c r="O18" t="inlineStr">
        <is>
          <t>Orange label</t>
        </is>
      </c>
      <c r="P18" t="inlineStr"/>
    </row>
    <row r="19">
      <c r="A19" t="n">
        <v>17</v>
      </c>
      <c r="B19" t="inlineStr">
        <is>
          <t>BetterVits</t>
        </is>
      </c>
      <c r="C19" t="inlineStr">
        <is>
          <t>Turmeric Complex (black pepper + boswellia)</t>
        </is>
      </c>
      <c r="D19" t="inlineStr">
        <is>
          <t>Capsule</t>
        </is>
      </c>
      <c r="E19" t="n">
        <v>60</v>
      </c>
      <c r="F19" t="n">
        <v>30</v>
      </c>
      <c r="G19" s="3" t="n">
        <v>35</v>
      </c>
      <c r="H19" s="3" t="n"/>
      <c r="I19" s="3">
        <f>IF(F19="","",ROUND(G19/F19,2))</f>
        <v/>
      </c>
      <c r="K19" t="inlineStr"/>
      <c r="L19" t="inlineStr">
        <is>
          <t>BetterVits</t>
        </is>
      </c>
      <c r="M19" t="inlineStr">
        <is>
          <t>Premium</t>
        </is>
      </c>
      <c r="N19" t="inlineStr">
        <is>
          <t>Free delivery; store rating 3.9/5</t>
        </is>
      </c>
      <c r="O19" t="inlineStr">
        <is>
          <t>Pastel, white bottle, orange label</t>
        </is>
      </c>
      <c r="P19" t="inlineStr">
        <is>
          <t>~servings</t>
        </is>
      </c>
    </row>
    <row r="20">
      <c r="A20" t="n">
        <v>18</v>
      </c>
      <c r="B20" t="inlineStr">
        <is>
          <t>Thorne</t>
        </is>
      </c>
      <c r="C20" t="inlineStr">
        <is>
          <t>Curcumin Phytosome 1000 mg</t>
        </is>
      </c>
      <c r="D20" t="inlineStr">
        <is>
          <t>Capsule</t>
        </is>
      </c>
      <c r="E20" t="n">
        <v>60</v>
      </c>
      <c r="F20" t="n">
        <v>30</v>
      </c>
      <c r="G20" s="3" t="n">
        <v>36</v>
      </c>
      <c r="H20" s="3" t="n"/>
      <c r="I20" s="3">
        <f>IF(F20="","",ROUND(G20/F20,2))</f>
        <v/>
      </c>
      <c r="J20" t="n">
        <v>4.8</v>
      </c>
      <c r="K20" t="inlineStr">
        <is>
          <t>824</t>
        </is>
      </c>
      <c r="L20" t="inlineStr">
        <is>
          <t>Thorne</t>
        </is>
      </c>
      <c r="M20" t="inlineStr">
        <is>
          <t>Premium</t>
        </is>
      </c>
      <c r="N20" t="inlineStr">
        <is>
          <t>Phytosome (clinical form)</t>
        </is>
      </c>
      <c r="O20" t="inlineStr">
        <is>
          <t>Minimal white</t>
        </is>
      </c>
      <c r="P20" t="inlineStr"/>
    </row>
    <row r="21">
      <c r="A21" t="n">
        <v>19</v>
      </c>
      <c r="B21" t="inlineStr">
        <is>
          <t>Thorne</t>
        </is>
      </c>
      <c r="C21" t="inlineStr">
        <is>
          <t>Curcumin Phytosome 1000 mg</t>
        </is>
      </c>
      <c r="D21" t="inlineStr">
        <is>
          <t>Capsule</t>
        </is>
      </c>
      <c r="E21" t="n">
        <v>120</v>
      </c>
      <c r="F21" t="n">
        <v>60</v>
      </c>
      <c r="G21" s="3" t="n">
        <v>64</v>
      </c>
      <c r="H21" s="3" t="n"/>
      <c r="I21" s="3">
        <f>IF(F21="","",ROUND(G21/F21,2))</f>
        <v/>
      </c>
      <c r="J21" t="n">
        <v>4.8</v>
      </c>
      <c r="K21" t="inlineStr">
        <is>
          <t>2k+</t>
        </is>
      </c>
      <c r="L21" t="inlineStr">
        <is>
          <t>Thorne</t>
        </is>
      </c>
      <c r="M21" t="inlineStr">
        <is>
          <t>High</t>
        </is>
      </c>
      <c r="N21" t="inlineStr">
        <is>
          <t>Phytosome, big pack</t>
        </is>
      </c>
      <c r="O21" t="inlineStr">
        <is>
          <t>Minimal white</t>
        </is>
      </c>
      <c r="P21" t="inlineStr"/>
    </row>
    <row r="22">
      <c r="A22" t="n">
        <v>20</v>
      </c>
      <c r="B22" t="inlineStr">
        <is>
          <t>The Absorption Co.</t>
        </is>
      </c>
      <c r="C22" t="inlineStr">
        <is>
          <t>Curcumin 500 mg</t>
        </is>
      </c>
      <c r="D22" t="inlineStr">
        <is>
          <t>Capsule</t>
        </is>
      </c>
      <c r="E22" t="n">
        <v>60</v>
      </c>
      <c r="F22" t="n">
        <v>60</v>
      </c>
      <c r="G22" s="3" t="n">
        <v>36.75</v>
      </c>
      <c r="H22" s="3" t="n">
        <v>49</v>
      </c>
      <c r="I22" s="3">
        <f>IF(F22="","",ROUND(G22/F22,2))</f>
        <v/>
      </c>
      <c r="K22" t="inlineStr"/>
      <c r="L22" t="inlineStr">
        <is>
          <t>Absorption Co.</t>
        </is>
      </c>
      <c r="M22" t="inlineStr">
        <is>
          <t>Premium</t>
        </is>
      </c>
      <c r="N22" t="inlineStr">
        <is>
          <t>149x higher absorption, SALE</t>
        </is>
      </c>
      <c r="O22" t="inlineStr">
        <is>
          <t>Bold white tub, orange block</t>
        </is>
      </c>
      <c r="P22" t="inlineStr">
        <is>
          <t>~servings</t>
        </is>
      </c>
    </row>
    <row r="23">
      <c r="A23" t="n">
        <v>21</v>
      </c>
      <c r="B23" t="inlineStr">
        <is>
          <t>NAOMI</t>
        </is>
      </c>
      <c r="C23" t="inlineStr">
        <is>
          <t>Turmeric Curcumin High Potency 1200 mg</t>
        </is>
      </c>
      <c r="D23" t="inlineStr">
        <is>
          <t>Capsule</t>
        </is>
      </c>
      <c r="E23" t="n">
        <v>60</v>
      </c>
      <c r="F23" t="n">
        <v>30</v>
      </c>
      <c r="G23" s="3" t="n">
        <v>39.99</v>
      </c>
      <c r="H23" s="3" t="n"/>
      <c r="I23" s="3">
        <f>IF(F23="","",ROUND(G23/F23,2))</f>
        <v/>
      </c>
      <c r="J23" t="n">
        <v>4.8</v>
      </c>
      <c r="K23" t="inlineStr">
        <is>
          <t>48</t>
        </is>
      </c>
      <c r="L23" t="inlineStr">
        <is>
          <t>NAOMI</t>
        </is>
      </c>
      <c r="M23" t="inlineStr">
        <is>
          <t>Premium</t>
        </is>
      </c>
      <c r="N23" t="inlineStr">
        <is>
          <t>#1 in title, 90-day returns, Clinicians' Choice</t>
        </is>
      </c>
      <c r="O23" t="inlineStr">
        <is>
          <t>Black bottle, purple + gold</t>
        </is>
      </c>
      <c r="P23" t="inlineStr"/>
    </row>
    <row r="24">
      <c r="A24" t="n">
        <v>22</v>
      </c>
      <c r="B24" t="inlineStr">
        <is>
          <t>Gaia Herbs</t>
        </is>
      </c>
      <c r="C24" t="inlineStr">
        <is>
          <t>Turmeric Supreme Extra Strength</t>
        </is>
      </c>
      <c r="D24" t="inlineStr">
        <is>
          <t>Liquid phyto-cap</t>
        </is>
      </c>
      <c r="E24" t="n">
        <v>120</v>
      </c>
      <c r="F24" t="n">
        <v>90</v>
      </c>
      <c r="G24" s="3" t="n">
        <v>49.49</v>
      </c>
      <c r="H24" s="3" t="n"/>
      <c r="I24" s="3">
        <f>IF(F24="","",ROUND(G24/F24,2))</f>
        <v/>
      </c>
      <c r="J24" t="n">
        <v>4.7</v>
      </c>
      <c r="K24" t="inlineStr">
        <is>
          <t>1k+</t>
        </is>
      </c>
      <c r="L24" t="inlineStr">
        <is>
          <t>Gaia</t>
        </is>
      </c>
      <c r="M24" t="inlineStr">
        <is>
          <t>High</t>
        </is>
      </c>
      <c r="N24" t="inlineStr">
        <is>
          <t>Extra strength</t>
        </is>
      </c>
      <c r="O24" t="inlineStr">
        <is>
          <t>Amber + green</t>
        </is>
      </c>
      <c r="P24" t="inlineStr">
        <is>
          <t>~servings</t>
        </is>
      </c>
    </row>
    <row r="25">
      <c r="A25" t="n">
        <v>23</v>
      </c>
      <c r="B25" t="inlineStr">
        <is>
          <t>Nature's Sunshine</t>
        </is>
      </c>
      <c r="C25" t="inlineStr">
        <is>
          <t>Turmeric Curcumin 1000 mg</t>
        </is>
      </c>
      <c r="D25" t="inlineStr">
        <is>
          <t>Capsule</t>
        </is>
      </c>
      <c r="E25" t="n">
        <v>60</v>
      </c>
      <c r="F25" t="n">
        <v>30</v>
      </c>
      <c r="G25" s="3" t="n">
        <v>59.95</v>
      </c>
      <c r="H25" s="3" t="n"/>
      <c r="I25" s="3">
        <f>IF(F25="","",ROUND(G25/F25,2))</f>
        <v/>
      </c>
      <c r="K25" t="inlineStr"/>
      <c r="L25" t="inlineStr">
        <is>
          <t>Nature's Sunshine</t>
        </is>
      </c>
      <c r="M25" t="inlineStr">
        <is>
          <t>High</t>
        </is>
      </c>
      <c r="N25" t="inlineStr">
        <is>
          <t>Free delivery, trending</t>
        </is>
      </c>
      <c r="O25" t="inlineStr">
        <is>
          <t>Amber + orange</t>
        </is>
      </c>
      <c r="P25" t="inlineStr">
        <is>
          <t>~servings</t>
        </is>
      </c>
    </row>
    <row r="26">
      <c r="A26" t="n">
        <v>24</v>
      </c>
      <c r="B26" t="inlineStr">
        <is>
          <t>Vimergy</t>
        </is>
      </c>
      <c r="C26" t="inlineStr">
        <is>
          <t>Curcumin with Turmeric</t>
        </is>
      </c>
      <c r="D26" t="inlineStr">
        <is>
          <t>Capsule</t>
        </is>
      </c>
      <c r="E26" t="n">
        <v>270</v>
      </c>
      <c r="F26" t="n">
        <v>135</v>
      </c>
      <c r="G26" s="3" t="n">
        <v>99</v>
      </c>
      <c r="H26" s="3" t="n"/>
      <c r="I26" s="3">
        <f>IF(F26="","",ROUND(G26/F26,2))</f>
        <v/>
      </c>
      <c r="J26" t="n">
        <v>4.8</v>
      </c>
      <c r="K26" t="inlineStr"/>
      <c r="L26" t="inlineStr">
        <is>
          <t>vimergy</t>
        </is>
      </c>
      <c r="M26" t="inlineStr">
        <is>
          <t>High</t>
        </is>
      </c>
      <c r="N26" t="inlineStr">
        <is>
          <t>Big pack</t>
        </is>
      </c>
      <c r="O26" t="inlineStr">
        <is>
          <t>White/orange</t>
        </is>
      </c>
      <c r="P26" t="inlineStr">
        <is>
          <t>~servings</t>
        </is>
      </c>
    </row>
    <row r="27">
      <c r="A27" t="n">
        <v>25</v>
      </c>
      <c r="B27" t="inlineStr">
        <is>
          <t>Mara Labs</t>
        </is>
      </c>
      <c r="C27" t="inlineStr">
        <is>
          <t>CurcElite + BrocElite bundle</t>
        </is>
      </c>
      <c r="D27" t="inlineStr">
        <is>
          <t>Bundle</t>
        </is>
      </c>
      <c r="G27" s="3" t="n">
        <v>139.98</v>
      </c>
      <c r="H27" s="3" t="n"/>
      <c r="I27" s="3">
        <f>IF(F27="","",ROUND(G27/F27,2))</f>
        <v/>
      </c>
      <c r="K27" t="inlineStr"/>
      <c r="L27" t="inlineStr">
        <is>
          <t>Mara Labs</t>
        </is>
      </c>
      <c r="M27" t="inlineStr">
        <is>
          <t>High</t>
        </is>
      </c>
      <c r="N27" t="inlineStr">
        <is>
          <t>Bundle, trending brand</t>
        </is>
      </c>
      <c r="O27" t="inlineStr">
        <is>
          <t>Green/orange</t>
        </is>
      </c>
      <c r="P27" t="inlineStr"/>
    </row>
    <row r="28">
      <c r="A28" t="n">
        <v>26</v>
      </c>
      <c r="B28" t="inlineStr">
        <is>
          <t>Noovit (today)</t>
        </is>
      </c>
      <c r="C28" t="inlineStr">
        <is>
          <t>Turmeric Complex</t>
        </is>
      </c>
      <c r="D28" t="inlineStr">
        <is>
          <t>Capsule</t>
        </is>
      </c>
      <c r="E28" t="n">
        <v>60</v>
      </c>
      <c r="F28" t="n">
        <v>30</v>
      </c>
      <c r="G28" s="3" t="n">
        <v>40</v>
      </c>
      <c r="H28" s="3" t="n"/>
      <c r="I28" s="3">
        <f>IF(F28="","",ROUND(G28/F28,2))</f>
        <v/>
      </c>
      <c r="K28" t="inlineStr"/>
      <c r="L28" t="inlineStr">
        <is>
          <t>noovit.com</t>
        </is>
      </c>
      <c r="M28" t="inlineStr">
        <is>
          <t>Premium</t>
        </is>
      </c>
      <c r="N28" t="inlineStr">
        <is>
          <t>Evidence-graded (planned)</t>
        </is>
      </c>
      <c r="O28" t="inlineStr">
        <is>
          <t>White bottle, orange band</t>
        </is>
      </c>
      <c r="P28" t="inlineStr">
        <is>
          <t>Sub $35, 6-pack $30/bottle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52" customWidth="1" min="7" max="7"/>
    <col width="46" customWidth="1" min="8" max="8"/>
  </cols>
  <sheetData>
    <row r="1">
      <c r="A1" s="2" t="inlineStr">
        <is>
          <t>Tier</t>
        </is>
      </c>
      <c r="B1" s="2" t="inlineStr">
        <is>
          <t>Listings</t>
        </is>
      </c>
      <c r="C1" s="2" t="inlineStr">
        <is>
          <t>Min price $</t>
        </is>
      </c>
      <c r="D1" s="2" t="inlineStr">
        <is>
          <t>Median price $</t>
        </is>
      </c>
      <c r="E1" s="2" t="inlineStr">
        <is>
          <t>Max price $</t>
        </is>
      </c>
      <c r="F1" s="2" t="inlineStr">
        <is>
          <t>Avg price/day $</t>
        </is>
      </c>
      <c r="G1" s="2" t="inlineStr">
        <is>
          <t>Who</t>
        </is>
      </c>
      <c r="H1" s="2" t="inlineStr">
        <is>
          <t>Implication for Noovit</t>
        </is>
      </c>
    </row>
    <row r="2">
      <c r="A2" t="inlineStr">
        <is>
          <t>Value</t>
        </is>
      </c>
      <c r="B2">
        <f>COUNTIF('Turmeric competitors'!M$3:M$28,A2)</f>
        <v/>
      </c>
      <c r="C2" s="3">
        <f>_xlfn.MINIFS('Turmeric competitors'!G$3:G$28,'Turmeric competitors'!M$3:M$28,A2)</f>
        <v/>
      </c>
      <c r="D2" s="3">
        <f t="array" ref="D2">MEDIAN(IF('Turmeric competitors'!M$3:M$28=A2,'Turmeric competitors'!G$3:G$28))</f>
        <v/>
      </c>
      <c r="E2" s="3">
        <f>_xlfn.MAXIFS('Turmeric competitors'!G$3:G$28,'Turmeric competitors'!M$3:M$28,A2)</f>
        <v/>
      </c>
      <c r="F2" s="3">
        <f>IFERROR(ROUND(AVERAGEIFS('Turmeric competitors'!I$3:I$28,'Turmeric competitors'!M$3:M$28,A2),2),"")</f>
        <v/>
      </c>
      <c r="G2" t="inlineStr">
        <is>
          <t>Under $15–17, big brands, iHerb, resellers</t>
        </is>
      </c>
      <c r="H2" t="inlineStr">
        <is>
          <t>Don't compete: Supliful landed $11.05</t>
        </is>
      </c>
    </row>
    <row r="3">
      <c r="A3" t="inlineStr">
        <is>
          <t>Mid</t>
        </is>
      </c>
      <c r="B3">
        <f>COUNTIF('Turmeric competitors'!M$3:M$28,A3)</f>
        <v/>
      </c>
      <c r="C3" s="3">
        <f>_xlfn.MINIFS('Turmeric competitors'!G$3:G$28,'Turmeric competitors'!M$3:M$28,A3)</f>
        <v/>
      </c>
      <c r="D3" s="3">
        <f t="array" ref="D3">MEDIAN(IF('Turmeric competitors'!M$3:M$28=A3,'Turmeric competitors'!G$3:G$28))</f>
        <v/>
      </c>
      <c r="E3" s="3">
        <f>_xlfn.MAXIFS('Turmeric competitors'!G$3:G$28,'Turmeric competitors'!M$3:M$28,A3)</f>
        <v/>
      </c>
      <c r="F3" s="3">
        <f>IFERROR(ROUND(AVERAGEIFS('Turmeric competitors'!I$3:I$28,'Turmeric competitors'!M$3:M$28,A3),2),"")</f>
        <v/>
      </c>
      <c r="G3" t="inlineStr">
        <is>
          <t>Organic, chews, liquid, bulk</t>
        </is>
      </c>
      <c r="H3" t="inlineStr">
        <is>
          <t>Not our lane</t>
        </is>
      </c>
    </row>
    <row r="4">
      <c r="A4" t="inlineStr">
        <is>
          <t>Premium</t>
        </is>
      </c>
      <c r="B4">
        <f>COUNTIF('Turmeric competitors'!M$3:M$28,A4)</f>
        <v/>
      </c>
      <c r="C4" s="3">
        <f>_xlfn.MINIFS('Turmeric competitors'!G$3:G$28,'Turmeric competitors'!M$3:M$28,A4)</f>
        <v/>
      </c>
      <c r="D4" s="3">
        <f t="array" ref="D4">MEDIAN(IF('Turmeric competitors'!M$3:M$28=A4,'Turmeric competitors'!G$3:G$28))</f>
        <v/>
      </c>
      <c r="E4" s="3">
        <f>_xlfn.MAXIFS('Turmeric competitors'!G$3:G$28,'Turmeric competitors'!M$3:M$28,A4)</f>
        <v/>
      </c>
      <c r="F4" s="3">
        <f>IFERROR(ROUND(AVERAGEIFS('Turmeric competitors'!I$3:I$28,'Turmeric competitors'!M$3:M$28,A4),2),"")</f>
        <v/>
      </c>
      <c r="G4" t="inlineStr">
        <is>
          <t>Momentous, Paleovalley, BetterVits, Thorne, Absorption, NAOMI</t>
        </is>
      </c>
      <c r="H4" t="inlineStr">
        <is>
          <t>OUR TIER: $29–40 per bottle, $1.00–1.33/day</t>
        </is>
      </c>
    </row>
    <row r="5">
      <c r="A5" t="inlineStr">
        <is>
          <t>High</t>
        </is>
      </c>
      <c r="B5">
        <f>COUNTIF('Turmeric competitors'!M$3:M$28,A5)</f>
        <v/>
      </c>
      <c r="C5" s="3">
        <f>_xlfn.MINIFS('Turmeric competitors'!G$3:G$28,'Turmeric competitors'!M$3:M$28,A5)</f>
        <v/>
      </c>
      <c r="D5" s="3">
        <f t="array" ref="D5">MEDIAN(IF('Turmeric competitors'!M$3:M$28=A5,'Turmeric competitors'!G$3:G$28))</f>
        <v/>
      </c>
      <c r="E5" s="3">
        <f>_xlfn.MAXIFS('Turmeric competitors'!G$3:G$28,'Turmeric competitors'!M$3:M$28,A5)</f>
        <v/>
      </c>
      <c r="F5" s="3">
        <f>IFERROR(ROUND(AVERAGEIFS('Turmeric competitors'!I$3:I$28,'Turmeric competitors'!M$3:M$28,A5),2),"")</f>
        <v/>
      </c>
      <c r="G5" t="inlineStr">
        <is>
          <t>Gaia, Nature's Sunshine, big packs, bundles</t>
        </is>
      </c>
      <c r="H5" t="inlineStr">
        <is>
          <t>Bundles and big packs live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2" customWidth="1" min="9" max="9"/>
    <col width="11" customWidth="1" min="10" max="10"/>
    <col width="10" customWidth="1" min="11" max="11"/>
    <col width="16" customWidth="1" min="12" max="12"/>
  </cols>
  <sheetData>
    <row r="1">
      <c r="A1" s="4" t="inlineStr">
        <is>
          <t>Turmeric 60 caps via Supliful. Orange cells are inputs: change them and everything recalculates.</t>
        </is>
      </c>
    </row>
    <row r="3">
      <c r="A3" t="inlineStr">
        <is>
          <t>Landed cost per bottle, free plan $ (product + shipping + fulfilment + processing)</t>
        </is>
      </c>
      <c r="B3" s="5" t="n">
        <v>11.05</v>
      </c>
    </row>
    <row r="4">
      <c r="A4" t="inlineStr">
        <is>
          <t>Landed cost per bottle, Pro plan $</t>
        </is>
      </c>
      <c r="B4" s="5" t="n">
        <v>8</v>
      </c>
    </row>
    <row r="5">
      <c r="A5" t="inlineStr">
        <is>
          <t>Extra bottle in same order $ (product only, estimate; confirm multi-unit shipping)</t>
        </is>
      </c>
      <c r="B5" s="5" t="n">
        <v>4.05</v>
      </c>
    </row>
    <row r="6">
      <c r="A6" t="inlineStr">
        <is>
          <t>Stripe fee %</t>
        </is>
      </c>
      <c r="B6" s="6" t="n">
        <v>0.029</v>
      </c>
    </row>
    <row r="7">
      <c r="A7" t="inlineStr">
        <is>
          <t>Stripe fixed fee per order $</t>
        </is>
      </c>
      <c r="B7" s="5" t="n">
        <v>0.3</v>
      </c>
    </row>
    <row r="8">
      <c r="A8" t="inlineStr">
        <is>
          <t>Ad cost to win a new customer $ (estimate)</t>
        </is>
      </c>
      <c r="B8" s="5" t="n">
        <v>18</v>
      </c>
    </row>
    <row r="9">
      <c r="A9" t="inlineStr">
        <is>
          <t>Supliful Pro monthly fee $</t>
        </is>
      </c>
      <c r="B9" s="5" t="n">
        <v>69</v>
      </c>
    </row>
    <row r="11">
      <c r="A11" s="4" t="inlineStr">
        <is>
          <t>Pro break-even (bottles per month)</t>
        </is>
      </c>
      <c r="B11">
        <f>ROUND(B9/(B3-B4),0)</f>
        <v/>
      </c>
    </row>
    <row r="13">
      <c r="A13" s="7" t="inlineStr">
        <is>
          <t>Offer</t>
        </is>
      </c>
      <c r="B13" s="7" t="inlineStr">
        <is>
          <t>Bottles in order</t>
        </is>
      </c>
      <c r="C13" s="7" t="inlineStr">
        <is>
          <t>Price per bottle $</t>
        </is>
      </c>
      <c r="D13" s="7" t="inlineStr">
        <is>
          <t>Order revenue $</t>
        </is>
      </c>
      <c r="E13" s="7" t="inlineStr">
        <is>
          <t>Landed cost, free $</t>
        </is>
      </c>
      <c r="F13" s="7" t="inlineStr">
        <is>
          <t>Stripe $</t>
        </is>
      </c>
      <c r="G13" s="7" t="inlineStr">
        <is>
          <t>Profit, free $</t>
        </is>
      </c>
      <c r="H13" s="7" t="inlineStr">
        <is>
          <t>Margin, free</t>
        </is>
      </c>
      <c r="I13" s="7" t="inlineStr">
        <is>
          <t>Landed cost, Pro $</t>
        </is>
      </c>
      <c r="J13" s="7" t="inlineStr">
        <is>
          <t>Profit, Pro $</t>
        </is>
      </c>
      <c r="K13" s="7" t="inlineStr">
        <is>
          <t>Margin, Pro</t>
        </is>
      </c>
      <c r="L13" s="7" t="inlineStr">
        <is>
          <t>Profit after ad cost (first order, free) $</t>
        </is>
      </c>
    </row>
    <row r="14">
      <c r="A14" t="inlineStr">
        <is>
          <t>One-time (today)</t>
        </is>
      </c>
      <c r="B14" s="8" t="n">
        <v>1</v>
      </c>
      <c r="C14" s="5" t="n">
        <v>40</v>
      </c>
      <c r="D14" s="3">
        <f>B14*C14</f>
        <v/>
      </c>
      <c r="E14" s="3">
        <f>$B$3+(B14-1)*$B$5</f>
        <v/>
      </c>
      <c r="F14" s="3">
        <f>ROUND(D14*$B$6+$B$7,2)</f>
        <v/>
      </c>
      <c r="G14" s="3">
        <f>D14-E14-F14</f>
        <v/>
      </c>
      <c r="H14" s="9">
        <f>G14/D14</f>
        <v/>
      </c>
      <c r="I14" s="3">
        <f>$B$4+(B14-1)*$B$5</f>
        <v/>
      </c>
      <c r="J14" s="3">
        <f>D14-I14-F14</f>
        <v/>
      </c>
      <c r="K14" s="9">
        <f>J14/D14</f>
        <v/>
      </c>
      <c r="L14" s="3">
        <f>G14-$B$8</f>
        <v/>
      </c>
    </row>
    <row r="15">
      <c r="A15" t="inlineStr">
        <is>
          <t>One-time (suggested)</t>
        </is>
      </c>
      <c r="B15" s="8" t="n">
        <v>1</v>
      </c>
      <c r="C15" s="5" t="n">
        <v>36</v>
      </c>
      <c r="D15" s="3">
        <f>B15*C15</f>
        <v/>
      </c>
      <c r="E15" s="3">
        <f>$B$3+(B15-1)*$B$5</f>
        <v/>
      </c>
      <c r="F15" s="3">
        <f>ROUND(D15*$B$6+$B$7,2)</f>
        <v/>
      </c>
      <c r="G15" s="3">
        <f>D15-E15-F15</f>
        <v/>
      </c>
      <c r="H15" s="9">
        <f>G15/D15</f>
        <v/>
      </c>
      <c r="I15" s="3">
        <f>$B$4+(B15-1)*$B$5</f>
        <v/>
      </c>
      <c r="J15" s="3">
        <f>D15-I15-F15</f>
        <v/>
      </c>
      <c r="K15" s="9">
        <f>J15/D15</f>
        <v/>
      </c>
      <c r="L15" s="3">
        <f>G15-$B$8</f>
        <v/>
      </c>
    </row>
    <row r="16">
      <c r="A16" t="inlineStr">
        <is>
          <t>Subscribe (today)</t>
        </is>
      </c>
      <c r="B16" s="8" t="n">
        <v>1</v>
      </c>
      <c r="C16" s="5" t="n">
        <v>35</v>
      </c>
      <c r="D16" s="3">
        <f>B16*C16</f>
        <v/>
      </c>
      <c r="E16" s="3">
        <f>$B$3+(B16-1)*$B$5</f>
        <v/>
      </c>
      <c r="F16" s="3">
        <f>ROUND(D16*$B$6+$B$7,2)</f>
        <v/>
      </c>
      <c r="G16" s="3">
        <f>D16-E16-F16</f>
        <v/>
      </c>
      <c r="H16" s="9">
        <f>G16/D16</f>
        <v/>
      </c>
      <c r="I16" s="3">
        <f>$B$4+(B16-1)*$B$5</f>
        <v/>
      </c>
      <c r="J16" s="3">
        <f>D16-I16-F16</f>
        <v/>
      </c>
      <c r="K16" s="9">
        <f>J16/D16</f>
        <v/>
      </c>
      <c r="L16" s="3">
        <f>G16-$B$8</f>
        <v/>
      </c>
    </row>
    <row r="17">
      <c r="A17" t="inlineStr">
        <is>
          <t>Subscribe (suggested)</t>
        </is>
      </c>
      <c r="B17" s="8" t="n">
        <v>1</v>
      </c>
      <c r="C17" s="5" t="n">
        <v>32</v>
      </c>
      <c r="D17" s="3">
        <f>B17*C17</f>
        <v/>
      </c>
      <c r="E17" s="3">
        <f>$B$3+(B17-1)*$B$5</f>
        <v/>
      </c>
      <c r="F17" s="3">
        <f>ROUND(D17*$B$6+$B$7,2)</f>
        <v/>
      </c>
      <c r="G17" s="3">
        <f>D17-E17-F17</f>
        <v/>
      </c>
      <c r="H17" s="9">
        <f>G17/D17</f>
        <v/>
      </c>
      <c r="I17" s="3">
        <f>$B$4+(B17-1)*$B$5</f>
        <v/>
      </c>
      <c r="J17" s="3">
        <f>D17-I17-F17</f>
        <v/>
      </c>
      <c r="K17" s="9">
        <f>J17/D17</f>
        <v/>
      </c>
      <c r="L17" s="3">
        <f>G17-$B$8</f>
        <v/>
      </c>
    </row>
    <row r="18">
      <c r="A18" t="inlineStr">
        <is>
          <t>Subscribe (low)</t>
        </is>
      </c>
      <c r="B18" s="8" t="n">
        <v>1</v>
      </c>
      <c r="C18" s="5" t="n">
        <v>30</v>
      </c>
      <c r="D18" s="3">
        <f>B18*C18</f>
        <v/>
      </c>
      <c r="E18" s="3">
        <f>$B$3+(B18-1)*$B$5</f>
        <v/>
      </c>
      <c r="F18" s="3">
        <f>ROUND(D18*$B$6+$B$7,2)</f>
        <v/>
      </c>
      <c r="G18" s="3">
        <f>D18-E18-F18</f>
        <v/>
      </c>
      <c r="H18" s="9">
        <f>G18/D18</f>
        <v/>
      </c>
      <c r="I18" s="3">
        <f>$B$4+(B18-1)*$B$5</f>
        <v/>
      </c>
      <c r="J18" s="3">
        <f>D18-I18-F18</f>
        <v/>
      </c>
      <c r="K18" s="9">
        <f>J18/D18</f>
        <v/>
      </c>
      <c r="L18" s="3">
        <f>G18-$B$8</f>
        <v/>
      </c>
    </row>
    <row r="19">
      <c r="A19" t="inlineStr">
        <is>
          <t>3-pack one-time</t>
        </is>
      </c>
      <c r="B19" s="8" t="n">
        <v>3</v>
      </c>
      <c r="C19" s="5" t="n">
        <v>33</v>
      </c>
      <c r="D19" s="3">
        <f>B19*C19</f>
        <v/>
      </c>
      <c r="E19" s="3">
        <f>$B$3+(B19-1)*$B$5</f>
        <v/>
      </c>
      <c r="F19" s="3">
        <f>ROUND(D19*$B$6+$B$7,2)</f>
        <v/>
      </c>
      <c r="G19" s="3">
        <f>D19-E19-F19</f>
        <v/>
      </c>
      <c r="H19" s="9">
        <f>G19/D19</f>
        <v/>
      </c>
      <c r="I19" s="3">
        <f>$B$4+(B19-1)*$B$5</f>
        <v/>
      </c>
      <c r="J19" s="3">
        <f>D19-I19-F19</f>
        <v/>
      </c>
      <c r="K19" s="9">
        <f>J19/D19</f>
        <v/>
      </c>
      <c r="L19" s="3">
        <f>G19-$B$8</f>
        <v/>
      </c>
    </row>
    <row r="20">
      <c r="A20" t="inlineStr">
        <is>
          <t>6-pack one-time</t>
        </is>
      </c>
      <c r="B20" s="8" t="n">
        <v>6</v>
      </c>
      <c r="C20" s="5" t="n">
        <v>30</v>
      </c>
      <c r="D20" s="3">
        <f>B20*C20</f>
        <v/>
      </c>
      <c r="E20" s="3">
        <f>$B$3+(B20-1)*$B$5</f>
        <v/>
      </c>
      <c r="F20" s="3">
        <f>ROUND(D20*$B$6+$B$7,2)</f>
        <v/>
      </c>
      <c r="G20" s="3">
        <f>D20-E20-F20</f>
        <v/>
      </c>
      <c r="H20" s="9">
        <f>G20/D20</f>
        <v/>
      </c>
      <c r="I20" s="3">
        <f>$B$4+(B20-1)*$B$5</f>
        <v/>
      </c>
      <c r="J20" s="3">
        <f>D20-I20-F20</f>
        <v/>
      </c>
      <c r="K20" s="9">
        <f>J20/D20</f>
        <v/>
      </c>
      <c r="L20" s="3">
        <f>G20-$B$8</f>
        <v/>
      </c>
    </row>
    <row r="21">
      <c r="A21" t="inlineStr">
        <is>
          <t>Supliful suggested retail</t>
        </is>
      </c>
      <c r="B21" s="8" t="n">
        <v>1</v>
      </c>
      <c r="C21" s="5" t="n">
        <v>25.9</v>
      </c>
      <c r="D21" s="3">
        <f>B21*C21</f>
        <v/>
      </c>
      <c r="E21" s="3">
        <f>$B$3+(B21-1)*$B$5</f>
        <v/>
      </c>
      <c r="F21" s="3">
        <f>ROUND(D21*$B$6+$B$7,2)</f>
        <v/>
      </c>
      <c r="G21" s="3">
        <f>D21-E21-F21</f>
        <v/>
      </c>
      <c r="H21" s="9">
        <f>G21/D21</f>
        <v/>
      </c>
      <c r="I21" s="3">
        <f>$B$4+(B21-1)*$B$5</f>
        <v/>
      </c>
      <c r="J21" s="3">
        <f>D21-I21-F21</f>
        <v/>
      </c>
      <c r="K21" s="9">
        <f>J21/D21</f>
        <v/>
      </c>
      <c r="L21" s="3">
        <f>G21-$B$8</f>
        <v/>
      </c>
    </row>
    <row r="23">
      <c r="A23" s="10" t="inlineStr">
        <is>
          <t>Notes</t>
        </is>
      </c>
    </row>
    <row r="24">
      <c r="A24" s="1" t="inlineStr">
        <is>
          <t>Supliful shows $4.05 – $11.05: $4.05 is the product, $11.05 is the all-in cost of one bottle delivered.</t>
        </is>
      </c>
    </row>
    <row r="25">
      <c r="A25" s="1" t="inlineStr">
        <is>
          <t>Extra bottles in the same order are estimated at the product cost only. Confirm Supliful's multi-unit shipping and update B5.</t>
        </is>
      </c>
    </row>
    <row r="26">
      <c r="A26" s="1" t="inlineStr">
        <is>
          <t>Ad cost is a placeholder for paid Google Shopping; subscriptions recover it over repeat orders.</t>
        </is>
      </c>
    </row>
    <row r="27">
      <c r="A27" s="1" t="inlineStr">
        <is>
          <t>Competitor prices from Google Shopping on 28 Oct 2026; they change often.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7" customWidth="1" min="12" max="12"/>
    <col width="8" customWidth="1" min="13" max="13"/>
    <col width="16" customWidth="1" min="14" max="14"/>
    <col width="14" customWidth="1" min="15" max="15"/>
    <col width="40" customWidth="1" min="16" max="16"/>
    <col width="26" customWidth="1" min="17" max="17"/>
    <col width="34" customWidth="1" min="18" max="18"/>
  </cols>
  <sheetData>
    <row r="1">
      <c r="A1" s="1" t="inlineStr">
        <is>
          <t>Google Shopping, 'berberine', Denver CO, 28 Oct 2026 (sponsored carousel, 24 unique listings). ~ = dose or servings assumed from label/usual use; blank = not visible.</t>
        </is>
      </c>
    </row>
    <row r="2">
      <c r="A2" s="2" t="inlineStr">
        <is>
          <t>#</t>
        </is>
      </c>
      <c r="B2" s="2" t="inlineStr">
        <is>
          <t>Brand</t>
        </is>
      </c>
      <c r="C2" s="2" t="inlineStr">
        <is>
          <t>Product</t>
        </is>
      </c>
      <c r="D2" s="2" t="inlineStr">
        <is>
          <t>Format</t>
        </is>
      </c>
      <c r="E2" s="2" t="inlineStr">
        <is>
          <t>Count</t>
        </is>
      </c>
      <c r="F2" s="2" t="inlineStr">
        <is>
          <t>Servings (days)</t>
        </is>
      </c>
      <c r="G2" s="2" t="inlineStr">
        <is>
          <t>Price $</t>
        </is>
      </c>
      <c r="H2" s="2" t="inlineStr">
        <is>
          <t>Was $</t>
        </is>
      </c>
      <c r="I2" s="2" t="inlineStr">
        <is>
          <t>Price per day $</t>
        </is>
      </c>
      <c r="J2" s="2" t="inlineStr">
        <is>
          <t>Berberine mg/day</t>
        </is>
      </c>
      <c r="K2" s="2" t="inlineStr">
        <is>
          <t>$ per 1,000 mg</t>
        </is>
      </c>
      <c r="L2" s="2" t="inlineStr">
        <is>
          <t>Rating</t>
        </is>
      </c>
      <c r="M2" s="2" t="inlineStr">
        <is>
          <t>Reviews</t>
        </is>
      </c>
      <c r="N2" s="2" t="inlineStr">
        <is>
          <t>Seller</t>
        </is>
      </c>
      <c r="O2" s="2" t="inlineStr">
        <is>
          <t>Tier</t>
        </is>
      </c>
      <c r="P2" s="2" t="inlineStr">
        <is>
          <t>Lead angle / badges</t>
        </is>
      </c>
      <c r="Q2" s="2" t="inlineStr">
        <is>
          <t>Look</t>
        </is>
      </c>
      <c r="R2" s="2" t="inlineStr">
        <is>
          <t>Notes</t>
        </is>
      </c>
    </row>
    <row r="3">
      <c r="A3" t="n">
        <v>1</v>
      </c>
      <c r="B3" t="inlineStr">
        <is>
          <t>Global Healing</t>
        </is>
      </c>
      <c r="C3" t="inlineStr">
        <is>
          <t>Organic Berberine</t>
        </is>
      </c>
      <c r="D3" t="inlineStr">
        <is>
          <t>Capsule</t>
        </is>
      </c>
      <c r="E3" t="n">
        <v>60</v>
      </c>
      <c r="F3" t="n">
        <v>30</v>
      </c>
      <c r="G3" s="3" t="n">
        <v>42.95</v>
      </c>
      <c r="H3" s="3" t="n"/>
      <c r="I3" s="3">
        <f>IF(OR(F3="",G3=""),"",ROUND(G3/F3,2))</f>
        <v/>
      </c>
      <c r="K3" s="3">
        <f>IF(OR(J3="",I3=""),"",ROUND(I3/J3*1000,2))</f>
        <v/>
      </c>
      <c r="M3" t="inlineStr"/>
      <c r="N3" t="inlineStr">
        <is>
          <t>Global Healing</t>
        </is>
      </c>
      <c r="O3" t="inlineStr">
        <is>
          <t>Core</t>
        </is>
      </c>
      <c r="P3" t="inlineStr">
        <is>
          <t>Organic, free gift w/ $75+</t>
        </is>
      </c>
      <c r="Q3" t="inlineStr">
        <is>
          <t>Amber glass, green label</t>
        </is>
      </c>
      <c r="R3" t="inlineStr">
        <is>
          <t>~servings</t>
        </is>
      </c>
    </row>
    <row r="4">
      <c r="A4" t="n">
        <v>2</v>
      </c>
      <c r="B4" t="inlineStr">
        <is>
          <t>NAOMI</t>
        </is>
      </c>
      <c r="C4" t="inlineStr">
        <is>
          <t>Himalayan Berberine 500 mg</t>
        </is>
      </c>
      <c r="D4" t="inlineStr">
        <is>
          <t>Capsule</t>
        </is>
      </c>
      <c r="E4" t="n">
        <v>60</v>
      </c>
      <c r="F4" t="n">
        <v>30</v>
      </c>
      <c r="G4" s="3" t="n">
        <v>39.99</v>
      </c>
      <c r="H4" s="3" t="n"/>
      <c r="I4" s="3">
        <f>IF(OR(F4="",G4=""),"",ROUND(G4/F4,2))</f>
        <v/>
      </c>
      <c r="J4" t="n">
        <v>1000</v>
      </c>
      <c r="K4" s="3">
        <f>IF(OR(J4="",I4=""),"",ROUND(I4/J4*1000,2))</f>
        <v/>
      </c>
      <c r="L4" t="n">
        <v>4.4</v>
      </c>
      <c r="M4" t="inlineStr">
        <is>
          <t>704</t>
        </is>
      </c>
      <c r="N4" t="inlineStr">
        <is>
          <t>NAOMI</t>
        </is>
      </c>
      <c r="O4" t="inlineStr">
        <is>
          <t>Core</t>
        </is>
      </c>
      <c r="P4" t="inlineStr">
        <is>
          <t>'Award-winning' (Shape Awards badge on image)</t>
        </is>
      </c>
      <c r="Q4" t="inlineStr">
        <is>
          <t>Black bottle, purple + gold</t>
        </is>
      </c>
      <c r="R4" t="inlineStr">
        <is>
          <t>~2 caps/day</t>
        </is>
      </c>
    </row>
    <row r="5">
      <c r="A5" t="n">
        <v>3</v>
      </c>
      <c r="B5" t="inlineStr">
        <is>
          <t>The Absorption Co.</t>
        </is>
      </c>
      <c r="C5" t="inlineStr">
        <is>
          <t>Berberine, 250 mg per serving</t>
        </is>
      </c>
      <c r="D5" t="inlineStr">
        <is>
          <t>Capsule</t>
        </is>
      </c>
      <c r="E5" t="n">
        <v>60</v>
      </c>
      <c r="F5" t="n">
        <v>30</v>
      </c>
      <c r="G5" s="3" t="n">
        <v>31.85</v>
      </c>
      <c r="H5" s="3" t="n"/>
      <c r="I5" s="3">
        <f>IF(OR(F5="",G5=""),"",ROUND(G5/F5,2))</f>
        <v/>
      </c>
      <c r="J5" t="n">
        <v>250</v>
      </c>
      <c r="K5" s="3">
        <f>IF(OR(J5="",I5=""),"",ROUND(I5/J5*1000,2))</f>
        <v/>
      </c>
      <c r="L5" t="n">
        <v>3.1</v>
      </c>
      <c r="M5" t="inlineStr">
        <is>
          <t>15</t>
        </is>
      </c>
      <c r="N5" t="inlineStr">
        <is>
          <t>Absorption Co.</t>
        </is>
      </c>
      <c r="O5" t="inlineStr">
        <is>
          <t>Core</t>
        </is>
      </c>
      <c r="P5" t="inlineStr">
        <is>
          <t>'6.2x more absorption'</t>
        </is>
      </c>
      <c r="Q5" t="inlineStr">
        <is>
          <t>White tub, red block</t>
        </is>
      </c>
      <c r="R5" t="inlineStr">
        <is>
          <t>Low stars visible: 3.1</t>
        </is>
      </c>
    </row>
    <row r="6">
      <c r="A6" t="n">
        <v>4</v>
      </c>
      <c r="B6" t="inlineStr">
        <is>
          <t>Vitasy</t>
        </is>
      </c>
      <c r="C6" t="inlineStr">
        <is>
          <t>Compass Berberine HCl</t>
        </is>
      </c>
      <c r="D6" t="inlineStr">
        <is>
          <t>Capsule</t>
        </is>
      </c>
      <c r="E6" t="n">
        <v>60</v>
      </c>
      <c r="F6" t="n">
        <v>30</v>
      </c>
      <c r="G6" s="3" t="n">
        <v>34.99</v>
      </c>
      <c r="H6" s="3" t="n"/>
      <c r="I6" s="3">
        <f>IF(OR(F6="",G6=""),"",ROUND(G6/F6,2))</f>
        <v/>
      </c>
      <c r="K6" s="3">
        <f>IF(OR(J6="",I6=""),"",ROUND(I6/J6*1000,2))</f>
        <v/>
      </c>
      <c r="M6" t="inlineStr"/>
      <c r="N6" t="inlineStr">
        <is>
          <t>Vitasy</t>
        </is>
      </c>
      <c r="O6" t="inlineStr">
        <is>
          <t>Core</t>
        </is>
      </c>
      <c r="P6" t="inlineStr">
        <is>
          <t>Free shipping</t>
        </is>
      </c>
      <c r="Q6" t="inlineStr">
        <is>
          <t>White bottle, navy label</t>
        </is>
      </c>
      <c r="R6" t="inlineStr">
        <is>
          <t>~servings</t>
        </is>
      </c>
    </row>
    <row r="7">
      <c r="A7" t="n">
        <v>5</v>
      </c>
      <c r="B7" t="inlineStr">
        <is>
          <t>GLOV Beauty</t>
        </is>
      </c>
      <c r="C7" t="inlineStr">
        <is>
          <t>Berberine Complex</t>
        </is>
      </c>
      <c r="D7" t="inlineStr">
        <is>
          <t>Capsule (pouch)</t>
        </is>
      </c>
      <c r="E7" t="n">
        <v>60</v>
      </c>
      <c r="F7" t="n">
        <v>30</v>
      </c>
      <c r="G7" s="3" t="n">
        <v>34</v>
      </c>
      <c r="H7" s="3" t="n"/>
      <c r="I7" s="3">
        <f>IF(OR(F7="",G7=""),"",ROUND(G7/F7,2))</f>
        <v/>
      </c>
      <c r="K7" s="3">
        <f>IF(OR(J7="",I7=""),"",ROUND(I7/J7*1000,2))</f>
        <v/>
      </c>
      <c r="M7" t="inlineStr"/>
      <c r="N7" t="inlineStr">
        <is>
          <t>Glov Beauty</t>
        </is>
      </c>
      <c r="O7" t="inlineStr">
        <is>
          <t>Core</t>
        </is>
      </c>
      <c r="P7" t="inlineStr">
        <is>
          <t>Beauty brand, lifestyle photo</t>
        </is>
      </c>
      <c r="Q7" t="inlineStr">
        <is>
          <t>Pink pouch</t>
        </is>
      </c>
      <c r="R7" t="inlineStr">
        <is>
          <t>~servings</t>
        </is>
      </c>
    </row>
    <row r="8">
      <c r="A8" t="n">
        <v>6</v>
      </c>
      <c r="B8" t="inlineStr">
        <is>
          <t>Vitasy</t>
        </is>
      </c>
      <c r="C8" t="inlineStr">
        <is>
          <t>Cortex Berberine HCl</t>
        </is>
      </c>
      <c r="D8" t="inlineStr">
        <is>
          <t>Capsule</t>
        </is>
      </c>
      <c r="E8" t="n">
        <v>60</v>
      </c>
      <c r="F8" t="n">
        <v>30</v>
      </c>
      <c r="G8" s="3" t="n">
        <v>34.99</v>
      </c>
      <c r="H8" s="3" t="n"/>
      <c r="I8" s="3">
        <f>IF(OR(F8="",G8=""),"",ROUND(G8/F8,2))</f>
        <v/>
      </c>
      <c r="K8" s="3">
        <f>IF(OR(J8="",I8=""),"",ROUND(I8/J8*1000,2))</f>
        <v/>
      </c>
      <c r="M8" t="inlineStr"/>
      <c r="N8" t="inlineStr">
        <is>
          <t>Vitasy</t>
        </is>
      </c>
      <c r="O8" t="inlineStr">
        <is>
          <t>Core</t>
        </is>
      </c>
      <c r="P8" t="inlineStr">
        <is>
          <t>Free shipping</t>
        </is>
      </c>
      <c r="Q8" t="inlineStr">
        <is>
          <t>Dark navy, minimal</t>
        </is>
      </c>
      <c r="R8" t="inlineStr">
        <is>
          <t>Same seller as #4: two brands</t>
        </is>
      </c>
    </row>
    <row r="9">
      <c r="A9" t="n">
        <v>7</v>
      </c>
      <c r="B9" t="inlineStr">
        <is>
          <t>Jade Supplements</t>
        </is>
      </c>
      <c r="C9" t="inlineStr">
        <is>
          <t>Pure Berberine 1200 mg per serving</t>
        </is>
      </c>
      <c r="D9" t="inlineStr">
        <is>
          <t>Capsule</t>
        </is>
      </c>
      <c r="E9" t="n">
        <v>60</v>
      </c>
      <c r="F9" t="n">
        <v>30</v>
      </c>
      <c r="G9" s="3" t="n">
        <v>37.99</v>
      </c>
      <c r="H9" s="3" t="n"/>
      <c r="I9" s="3">
        <f>IF(OR(F9="",G9=""),"",ROUND(G9/F9,2))</f>
        <v/>
      </c>
      <c r="J9" t="n">
        <v>1200</v>
      </c>
      <c r="K9" s="3">
        <f>IF(OR(J9="",I9=""),"",ROUND(I9/J9*1000,2))</f>
        <v/>
      </c>
      <c r="M9" t="inlineStr"/>
      <c r="N9" t="inlineStr">
        <is>
          <t>Jade</t>
        </is>
      </c>
      <c r="O9" t="inlineStr">
        <is>
          <t>Core</t>
        </is>
      </c>
      <c r="P9" t="inlineStr">
        <is>
          <t>Big dose number</t>
        </is>
      </c>
      <c r="Q9" t="inlineStr">
        <is>
          <t>Teal label</t>
        </is>
      </c>
      <c r="R9" t="inlineStr">
        <is>
          <t>30-day supply stated</t>
        </is>
      </c>
    </row>
    <row r="10">
      <c r="A10" t="n">
        <v>8</v>
      </c>
      <c r="B10" t="inlineStr">
        <is>
          <t>Terry Naturally</t>
        </is>
      </c>
      <c r="C10" t="inlineStr">
        <is>
          <t>Berberine MetX</t>
        </is>
      </c>
      <c r="D10" t="inlineStr">
        <is>
          <t>Capsule</t>
        </is>
      </c>
      <c r="E10" t="n">
        <v>60</v>
      </c>
      <c r="F10" t="n">
        <v>30</v>
      </c>
      <c r="G10" s="3" t="n">
        <v>39.95</v>
      </c>
      <c r="H10" s="3" t="n"/>
      <c r="I10" s="3">
        <f>IF(OR(F10="",G10=""),"",ROUND(G10/F10,2))</f>
        <v/>
      </c>
      <c r="K10" s="3">
        <f>IF(OR(J10="",I10=""),"",ROUND(I10/J10*1000,2))</f>
        <v/>
      </c>
      <c r="M10" t="inlineStr"/>
      <c r="N10" t="inlineStr">
        <is>
          <t>Terry Naturally</t>
        </is>
      </c>
      <c r="O10" t="inlineStr">
        <is>
          <t>Core</t>
        </is>
      </c>
      <c r="P10" t="inlineStr">
        <is>
          <t>Enhanced absorption, vegan</t>
        </is>
      </c>
      <c r="Q10" t="inlineStr">
        <is>
          <t>Blue/red, busy</t>
        </is>
      </c>
      <c r="R10" t="inlineStr">
        <is>
          <t>~servings</t>
        </is>
      </c>
    </row>
    <row r="11">
      <c r="A11" t="n">
        <v>9</v>
      </c>
      <c r="B11" t="inlineStr">
        <is>
          <t>Thorne</t>
        </is>
      </c>
      <c r="C11" t="inlineStr">
        <is>
          <t>Berberine 500 mg</t>
        </is>
      </c>
      <c r="D11" t="inlineStr">
        <is>
          <t>Capsule</t>
        </is>
      </c>
      <c r="E11" t="n">
        <v>60</v>
      </c>
      <c r="F11" t="n">
        <v>30</v>
      </c>
      <c r="G11" s="3" t="n">
        <v>44</v>
      </c>
      <c r="H11" s="3" t="n"/>
      <c r="I11" s="3">
        <f>IF(OR(F11="",G11=""),"",ROUND(G11/F11,2))</f>
        <v/>
      </c>
      <c r="J11" t="n">
        <v>1000</v>
      </c>
      <c r="K11" s="3">
        <f>IF(OR(J11="",I11=""),"",ROUND(I11/J11*1000,2))</f>
        <v/>
      </c>
      <c r="L11" t="n">
        <v>4.7</v>
      </c>
      <c r="M11" t="inlineStr">
        <is>
          <t>5k+</t>
        </is>
      </c>
      <c r="N11" t="inlineStr">
        <is>
          <t>Thorne</t>
        </is>
      </c>
      <c r="O11" t="inlineStr">
        <is>
          <t>Core</t>
        </is>
      </c>
      <c r="P11" t="inlineStr">
        <is>
          <t>Clinical brand, 5k+ reviews</t>
        </is>
      </c>
      <c r="Q11" t="inlineStr">
        <is>
          <t>Minimal white, green art</t>
        </is>
      </c>
      <c r="R11" t="inlineStr">
        <is>
          <t>~2 caps/day</t>
        </is>
      </c>
    </row>
    <row r="12">
      <c r="A12" t="n">
        <v>10</v>
      </c>
      <c r="B12" t="inlineStr">
        <is>
          <t>Thorne</t>
        </is>
      </c>
      <c r="C12" t="inlineStr">
        <is>
          <t>Berberine 200 mg</t>
        </is>
      </c>
      <c r="D12" t="inlineStr">
        <is>
          <t>Capsule</t>
        </is>
      </c>
      <c r="E12" t="n">
        <v>60</v>
      </c>
      <c r="F12" t="n">
        <v>30</v>
      </c>
      <c r="G12" s="3" t="n">
        <v>30</v>
      </c>
      <c r="H12" s="3" t="n"/>
      <c r="I12" s="3">
        <f>IF(OR(F12="",G12=""),"",ROUND(G12/F12,2))</f>
        <v/>
      </c>
      <c r="J12" t="n">
        <v>400</v>
      </c>
      <c r="K12" s="3">
        <f>IF(OR(J12="",I12=""),"",ROUND(I12/J12*1000,2))</f>
        <v/>
      </c>
      <c r="L12" t="n">
        <v>4.7</v>
      </c>
      <c r="M12" t="inlineStr">
        <is>
          <t>761</t>
        </is>
      </c>
      <c r="N12" t="inlineStr">
        <is>
          <t>Thorne</t>
        </is>
      </c>
      <c r="O12" t="inlineStr">
        <is>
          <t>Core</t>
        </is>
      </c>
      <c r="P12" t="inlineStr">
        <is>
          <t>Lower dose</t>
        </is>
      </c>
      <c r="Q12" t="inlineStr">
        <is>
          <t>Minimal white, green art</t>
        </is>
      </c>
      <c r="R12" t="inlineStr">
        <is>
          <t>~2 caps/day</t>
        </is>
      </c>
    </row>
    <row r="13">
      <c r="A13" t="n">
        <v>11</v>
      </c>
      <c r="B13" t="inlineStr">
        <is>
          <t>Omre</t>
        </is>
      </c>
      <c r="C13" t="inlineStr">
        <is>
          <t>Berberine (AMPK Support)</t>
        </is>
      </c>
      <c r="D13" t="inlineStr">
        <is>
          <t>Capsule</t>
        </is>
      </c>
      <c r="E13" t="n">
        <v>60</v>
      </c>
      <c r="F13" t="n">
        <v>30</v>
      </c>
      <c r="G13" s="3" t="n">
        <v>46.55</v>
      </c>
      <c r="H13" s="3" t="n"/>
      <c r="I13" s="3">
        <f>IF(OR(F13="",G13=""),"",ROUND(G13/F13,2))</f>
        <v/>
      </c>
      <c r="K13" s="3">
        <f>IF(OR(J13="",I13=""),"",ROUND(I13/J13*1000,2))</f>
        <v/>
      </c>
      <c r="L13" t="n">
        <v>4.8</v>
      </c>
      <c r="M13" t="inlineStr">
        <is>
          <t>6</t>
        </is>
      </c>
      <c r="N13" t="inlineStr">
        <is>
          <t>Omre Co</t>
        </is>
      </c>
      <c r="O13" t="inlineStr">
        <is>
          <t>Core</t>
        </is>
      </c>
      <c r="P13" t="inlineStr">
        <is>
          <t>AMPK science angle</t>
        </is>
      </c>
      <c r="Q13" t="inlineStr">
        <is>
          <t>Amber jar, coral label</t>
        </is>
      </c>
      <c r="R13" t="inlineStr">
        <is>
          <t>~servings</t>
        </is>
      </c>
    </row>
    <row r="14">
      <c r="A14" t="n">
        <v>12</v>
      </c>
      <c r="B14" t="inlineStr">
        <is>
          <t>Naked Nutrition</t>
        </is>
      </c>
      <c r="C14" t="inlineStr">
        <is>
          <t>Berberine 200 mg</t>
        </is>
      </c>
      <c r="D14" t="inlineStr">
        <is>
          <t>Capsule</t>
        </is>
      </c>
      <c r="E14" t="n">
        <v>60</v>
      </c>
      <c r="F14" t="n">
        <v>30</v>
      </c>
      <c r="G14" s="3" t="n">
        <v>24.99</v>
      </c>
      <c r="H14" s="3" t="n"/>
      <c r="I14" s="3">
        <f>IF(OR(F14="",G14=""),"",ROUND(G14/F14,2))</f>
        <v/>
      </c>
      <c r="J14" t="n">
        <v>400</v>
      </c>
      <c r="K14" s="3">
        <f>IF(OR(J14="",I14=""),"",ROUND(I14/J14*1000,2))</f>
        <v/>
      </c>
      <c r="L14" t="n">
        <v>5</v>
      </c>
      <c r="M14" t="inlineStr">
        <is>
          <t>4</t>
        </is>
      </c>
      <c r="N14" t="inlineStr">
        <is>
          <t>Naked</t>
        </is>
      </c>
      <c r="O14" t="inlineStr">
        <is>
          <t>Value</t>
        </is>
      </c>
      <c r="P14" t="inlineStr">
        <is>
          <t>HSA/FSA eligible in title</t>
        </is>
      </c>
      <c r="Q14" t="inlineStr">
        <is>
          <t>Maroon label, clear bottle</t>
        </is>
      </c>
      <c r="R14" t="inlineStr">
        <is>
          <t>~2 caps/day</t>
        </is>
      </c>
    </row>
    <row r="15">
      <c r="A15" t="n">
        <v>13</v>
      </c>
      <c r="B15" t="inlineStr">
        <is>
          <t>Kind Patches</t>
        </is>
      </c>
      <c r="C15" t="inlineStr">
        <is>
          <t>Berberine Patches</t>
        </is>
      </c>
      <c r="D15" t="inlineStr">
        <is>
          <t>Patch</t>
        </is>
      </c>
      <c r="E15" t="n">
        <v>30</v>
      </c>
      <c r="F15" t="n">
        <v>30</v>
      </c>
      <c r="G15" s="3" t="n">
        <v>15</v>
      </c>
      <c r="H15" s="3" t="n"/>
      <c r="I15" s="3">
        <f>IF(OR(F15="",G15=""),"",ROUND(G15/F15,2))</f>
        <v/>
      </c>
      <c r="K15" s="3">
        <f>IF(OR(J15="",I15=""),"",ROUND(I15/J15*1000,2))</f>
        <v/>
      </c>
      <c r="M15" t="inlineStr"/>
      <c r="N15" t="inlineStr">
        <is>
          <t>Kind Patches</t>
        </is>
      </c>
      <c r="O15" t="inlineStr">
        <is>
          <t>Value</t>
        </is>
      </c>
      <c r="P15" t="inlineStr">
        <is>
          <t>Format: patch, 30-day returns</t>
        </is>
      </c>
      <c r="Q15" t="inlineStr">
        <is>
          <t>Pouch, pink circle</t>
        </is>
      </c>
      <c r="R15" t="inlineStr">
        <is>
          <t>Weak evidence for patches</t>
        </is>
      </c>
    </row>
    <row r="16">
      <c r="A16" t="n">
        <v>14</v>
      </c>
      <c r="B16" t="inlineStr">
        <is>
          <t>Vitasy</t>
        </is>
      </c>
      <c r="C16" t="inlineStr">
        <is>
          <t>Berberine Patches</t>
        </is>
      </c>
      <c r="D16" t="inlineStr">
        <is>
          <t>Patch</t>
        </is>
      </c>
      <c r="E16" t="n">
        <v>30</v>
      </c>
      <c r="F16" t="n">
        <v>30</v>
      </c>
      <c r="G16" s="3" t="n">
        <v>24.99</v>
      </c>
      <c r="H16" s="3" t="n"/>
      <c r="I16" s="3">
        <f>IF(OR(F16="",G16=""),"",ROUND(G16/F16,2))</f>
        <v/>
      </c>
      <c r="K16" s="3">
        <f>IF(OR(J16="",I16=""),"",ROUND(I16/J16*1000,2))</f>
        <v/>
      </c>
      <c r="M16" t="inlineStr"/>
      <c r="N16" t="inlineStr">
        <is>
          <t>Vitasy</t>
        </is>
      </c>
      <c r="O16" t="inlineStr">
        <is>
          <t>Value</t>
        </is>
      </c>
      <c r="P16" t="inlineStr">
        <is>
          <t>Format: patch, free shipping</t>
        </is>
      </c>
      <c r="Q16" t="inlineStr">
        <is>
          <t>Navy pouch</t>
        </is>
      </c>
      <c r="R16" t="inlineStr"/>
    </row>
    <row r="17">
      <c r="A17" t="n">
        <v>15</v>
      </c>
      <c r="B17" t="inlineStr">
        <is>
          <t>Midi Health</t>
        </is>
      </c>
      <c r="C17" t="inlineStr">
        <is>
          <t>Berberine+</t>
        </is>
      </c>
      <c r="D17" t="inlineStr">
        <is>
          <t>Capsule</t>
        </is>
      </c>
      <c r="E17" t="n">
        <v>60</v>
      </c>
      <c r="F17" t="n">
        <v>30</v>
      </c>
      <c r="G17" s="3" t="n">
        <v>54.99</v>
      </c>
      <c r="H17" s="3" t="n"/>
      <c r="I17" s="3">
        <f>IF(OR(F17="",G17=""),"",ROUND(G17/F17,2))</f>
        <v/>
      </c>
      <c r="K17" s="3">
        <f>IF(OR(J17="",I17=""),"",ROUND(I17/J17*1000,2))</f>
        <v/>
      </c>
      <c r="M17" t="inlineStr"/>
      <c r="N17" t="inlineStr">
        <is>
          <t>Midi Health</t>
        </is>
      </c>
      <c r="O17" t="inlineStr">
        <is>
          <t>Weight / GLP-1</t>
        </is>
      </c>
      <c r="P17" t="inlineStr">
        <is>
          <t>'Weight management, fat burning' on label; buy 3 get 10% off</t>
        </is>
      </c>
      <c r="Q17" t="inlineStr">
        <is>
          <t>Amber, bright orange label</t>
        </is>
      </c>
      <c r="R17" t="inlineStr">
        <is>
          <t>Menopause clinic brand</t>
        </is>
      </c>
    </row>
    <row r="18">
      <c r="A18" t="n">
        <v>16</v>
      </c>
      <c r="B18" t="inlineStr">
        <is>
          <t>SpoiledChild</t>
        </is>
      </c>
      <c r="C18" t="inlineStr">
        <is>
          <t>Metabolism Support with Berberine</t>
        </is>
      </c>
      <c r="D18" t="inlineStr">
        <is>
          <t>Liquid?</t>
        </is>
      </c>
      <c r="G18" s="3" t="n">
        <v>49</v>
      </c>
      <c r="H18" s="3" t="n"/>
      <c r="I18" s="3">
        <f>IF(OR(F18="",G18=""),"",ROUND(G18/F18,2))</f>
        <v/>
      </c>
      <c r="K18" s="3">
        <f>IF(OR(J18="",I18=""),"",ROUND(I18/J18*1000,2))</f>
        <v/>
      </c>
      <c r="L18" t="n">
        <v>4.7</v>
      </c>
      <c r="M18" t="inlineStr">
        <is>
          <t>2k+</t>
        </is>
      </c>
      <c r="N18" t="inlineStr">
        <is>
          <t>spoiledchild</t>
        </is>
      </c>
      <c r="O18" t="inlineStr">
        <is>
          <t>Weight / GLP-1</t>
        </is>
      </c>
      <c r="P18" t="inlineStr">
        <is>
          <t>Metabolism</t>
        </is>
      </c>
      <c r="Q18" t="inlineStr">
        <is>
          <t>White bottle on black</t>
        </is>
      </c>
      <c r="R18" t="inlineStr">
        <is>
          <t>Format unclear</t>
        </is>
      </c>
    </row>
    <row r="19">
      <c r="A19" t="n">
        <v>17</v>
      </c>
      <c r="B19" t="inlineStr">
        <is>
          <t>Tonum</t>
        </is>
      </c>
      <c r="C19" t="inlineStr">
        <is>
          <t>Natural Weight Loss</t>
        </is>
      </c>
      <c r="D19" t="inlineStr">
        <is>
          <t>Capsule</t>
        </is>
      </c>
      <c r="G19" s="3" t="n">
        <v>59.99</v>
      </c>
      <c r="H19" s="3" t="n"/>
      <c r="I19" s="3">
        <f>IF(OR(F19="",G19=""),"",ROUND(G19/F19,2))</f>
        <v/>
      </c>
      <c r="K19" s="3">
        <f>IF(OR(J19="",I19=""),"",ROUND(I19/J19*1000,2))</f>
        <v/>
      </c>
      <c r="M19" t="inlineStr"/>
      <c r="N19" t="inlineStr">
        <is>
          <t>Tonum</t>
        </is>
      </c>
      <c r="O19" t="inlineStr">
        <is>
          <t>Weight / GLP-1</t>
        </is>
      </c>
      <c r="P19" t="inlineStr">
        <is>
          <t>Weight loss in title, 30-day returns</t>
        </is>
      </c>
      <c r="Q19" t="inlineStr">
        <is>
          <t>Cream tub, lifestyle photo</t>
        </is>
      </c>
      <c r="R19" t="inlineStr"/>
    </row>
    <row r="20">
      <c r="A20" t="n">
        <v>18</v>
      </c>
      <c r="B20" t="inlineStr">
        <is>
          <t>Happy Mammoth</t>
        </is>
      </c>
      <c r="C20" t="inlineStr">
        <is>
          <t>Ultimate Cravings Control</t>
        </is>
      </c>
      <c r="D20" t="inlineStr">
        <is>
          <t>Capsule</t>
        </is>
      </c>
      <c r="G20" s="3" t="n">
        <v>69.98999999999999</v>
      </c>
      <c r="H20" s="3" t="n"/>
      <c r="I20" s="3">
        <f>IF(OR(F20="",G20=""),"",ROUND(G20/F20,2))</f>
        <v/>
      </c>
      <c r="K20" s="3">
        <f>IF(OR(J20="",I20=""),"",ROUND(I20/J20*1000,2))</f>
        <v/>
      </c>
      <c r="L20" t="n">
        <v>4.8</v>
      </c>
      <c r="M20" t="inlineStr">
        <is>
          <t>151</t>
        </is>
      </c>
      <c r="N20" t="inlineStr">
        <is>
          <t>Happy Mammoth</t>
        </is>
      </c>
      <c r="O20" t="inlineStr">
        <is>
          <t>Weight / GLP-1</t>
        </is>
      </c>
      <c r="P20" t="inlineStr">
        <is>
          <t>Cravings</t>
        </is>
      </c>
      <c r="Q20" t="inlineStr">
        <is>
          <t>Amber, lifestyle photo</t>
        </is>
      </c>
      <c r="R20" t="inlineStr"/>
    </row>
    <row r="21">
      <c r="A21" t="n">
        <v>19</v>
      </c>
      <c r="B21" t="inlineStr">
        <is>
          <t>Clade Protocol</t>
        </is>
      </c>
      <c r="C21" t="inlineStr">
        <is>
          <t>GLP-1 Metabolic</t>
        </is>
      </c>
      <c r="D21" t="inlineStr">
        <is>
          <t>Capsule</t>
        </is>
      </c>
      <c r="E21" t="n">
        <v>60</v>
      </c>
      <c r="F21" t="n">
        <v>30</v>
      </c>
      <c r="G21" s="3" t="n">
        <v>69</v>
      </c>
      <c r="H21" s="3" t="n"/>
      <c r="I21" s="3">
        <f>IF(OR(F21="",G21=""),"",ROUND(G21/F21,2))</f>
        <v/>
      </c>
      <c r="K21" s="3">
        <f>IF(OR(J21="",I21=""),"",ROUND(I21/J21*1000,2))</f>
        <v/>
      </c>
      <c r="M21" t="inlineStr"/>
      <c r="N21" t="inlineStr">
        <is>
          <t>Clade</t>
        </is>
      </c>
      <c r="O21" t="inlineStr">
        <is>
          <t>Weight / GLP-1</t>
        </is>
      </c>
      <c r="P21" t="inlineStr">
        <is>
          <t>'GLP-1' in name, special offer</t>
        </is>
      </c>
      <c r="Q21" t="inlineStr">
        <is>
          <t>Frosted jar, black lid</t>
        </is>
      </c>
      <c r="R21" t="inlineStr"/>
    </row>
    <row r="22">
      <c r="A22" t="n">
        <v>20</v>
      </c>
      <c r="B22" t="inlineStr">
        <is>
          <t>The Absorption Co.</t>
        </is>
      </c>
      <c r="C22" t="inlineStr">
        <is>
          <t>WLP-1 Oral GLP-1 Support</t>
        </is>
      </c>
      <c r="D22" t="inlineStr">
        <is>
          <t>Capsule</t>
        </is>
      </c>
      <c r="G22" s="3" t="n">
        <v>79.2</v>
      </c>
      <c r="H22" s="3" t="n">
        <v>99</v>
      </c>
      <c r="I22" s="3">
        <f>IF(OR(F22="",G22=""),"",ROUND(G22/F22,2))</f>
        <v/>
      </c>
      <c r="K22" s="3">
        <f>IF(OR(J22="",I22=""),"",ROUND(I22/J22*1000,2))</f>
        <v/>
      </c>
      <c r="M22" t="inlineStr"/>
      <c r="N22" t="inlineStr">
        <is>
          <t>Absorption Co.</t>
        </is>
      </c>
      <c r="O22" t="inlineStr">
        <is>
          <t>Weight / GLP-1</t>
        </is>
      </c>
      <c r="P22" t="inlineStr">
        <is>
          <t>SALE, 200+ sold last month</t>
        </is>
      </c>
      <c r="Q22" t="inlineStr">
        <is>
          <t>White tub, grid</t>
        </is>
      </c>
      <c r="R22" t="inlineStr">
        <is>
          <t>Same brand as #3 at 2.5x price</t>
        </is>
      </c>
    </row>
    <row r="23">
      <c r="A23" t="n">
        <v>21</v>
      </c>
      <c r="B23" t="inlineStr">
        <is>
          <t>Xymogen</t>
        </is>
      </c>
      <c r="C23" t="inlineStr">
        <is>
          <t>Berberine 1 g per serving</t>
        </is>
      </c>
      <c r="D23" t="inlineStr">
        <is>
          <t>Capsule</t>
        </is>
      </c>
      <c r="E23" t="n">
        <v>120</v>
      </c>
      <c r="F23" t="n">
        <v>60</v>
      </c>
      <c r="G23" s="3" t="n">
        <v>86.98999999999999</v>
      </c>
      <c r="H23" s="3" t="n"/>
      <c r="I23" s="3">
        <f>IF(OR(F23="",G23=""),"",ROUND(G23/F23,2))</f>
        <v/>
      </c>
      <c r="J23" t="n">
        <v>1000</v>
      </c>
      <c r="K23" s="3">
        <f>IF(OR(J23="",I23=""),"",ROUND(I23/J23*1000,2))</f>
        <v/>
      </c>
      <c r="M23" t="inlineStr"/>
      <c r="N23" t="inlineStr">
        <is>
          <t>Xymogen</t>
        </is>
      </c>
      <c r="O23" t="inlineStr">
        <is>
          <t>Big pack</t>
        </is>
      </c>
      <c r="P23" t="inlineStr">
        <is>
          <t>Practitioner brand</t>
        </is>
      </c>
      <c r="Q23" t="inlineStr">
        <is>
          <t>Minimal white, blue/orange</t>
        </is>
      </c>
      <c r="R23" t="inlineStr"/>
    </row>
    <row r="24">
      <c r="A24" t="n">
        <v>22</v>
      </c>
      <c r="B24" t="inlineStr">
        <is>
          <t>Dr Juan's Santo Remedio</t>
        </is>
      </c>
      <c r="C24" t="inlineStr">
        <is>
          <t>Berberine+ Slim Fit (3-pack)</t>
        </is>
      </c>
      <c r="D24" t="inlineStr">
        <is>
          <t>Capsule</t>
        </is>
      </c>
      <c r="E24" t="n">
        <v>180</v>
      </c>
      <c r="F24" t="n">
        <v>90</v>
      </c>
      <c r="G24" s="3" t="n">
        <v>107.86</v>
      </c>
      <c r="H24" s="3" t="n"/>
      <c r="I24" s="3">
        <f>IF(OR(F24="",G24=""),"",ROUND(G24/F24,2))</f>
        <v/>
      </c>
      <c r="K24" s="3">
        <f>IF(OR(J24="",I24=""),"",ROUND(I24/J24*1000,2))</f>
        <v/>
      </c>
      <c r="L24" t="n">
        <v>4.3</v>
      </c>
      <c r="M24" t="inlineStr">
        <is>
          <t>283</t>
        </is>
      </c>
      <c r="N24" t="inlineStr">
        <is>
          <t>Dr Juan</t>
        </is>
      </c>
      <c r="O24" t="inlineStr">
        <is>
          <t>Big pack</t>
        </is>
      </c>
      <c r="P24" t="inlineStr">
        <is>
          <t>Doctor-led TV brand, 3-pack</t>
        </is>
      </c>
      <c r="Q24" t="inlineStr">
        <is>
          <t>Magenta, busy</t>
        </is>
      </c>
      <c r="R24" t="inlineStr">
        <is>
          <t>~servings</t>
        </is>
      </c>
    </row>
    <row r="25">
      <c r="A25" t="n">
        <v>23</v>
      </c>
      <c r="B25" t="inlineStr">
        <is>
          <t>Mara Labs</t>
        </is>
      </c>
      <c r="C25" t="inlineStr">
        <is>
          <t>BerbElite</t>
        </is>
      </c>
      <c r="D25" t="inlineStr">
        <is>
          <t>Capsule</t>
        </is>
      </c>
      <c r="E25" t="n">
        <v>120</v>
      </c>
      <c r="F25" t="n">
        <v>60</v>
      </c>
      <c r="G25" s="3" t="n">
        <v>109.99</v>
      </c>
      <c r="H25" s="3" t="n"/>
      <c r="I25" s="3">
        <f>IF(OR(F25="",G25=""),"",ROUND(G25/F25,2))</f>
        <v/>
      </c>
      <c r="K25" s="3">
        <f>IF(OR(J25="",I25=""),"",ROUND(I25/J25*1000,2))</f>
        <v/>
      </c>
      <c r="M25" t="inlineStr"/>
      <c r="N25" t="inlineStr">
        <is>
          <t>Mara Labs</t>
        </is>
      </c>
      <c r="O25" t="inlineStr">
        <is>
          <t>Big pack</t>
        </is>
      </c>
      <c r="P25" t="inlineStr">
        <is>
          <t>Bioavailable berberine</t>
        </is>
      </c>
      <c r="Q25" t="inlineStr">
        <is>
          <t>White, gold diamond</t>
        </is>
      </c>
      <c r="R25" t="inlineStr">
        <is>
          <t>~servings</t>
        </is>
      </c>
    </row>
    <row r="26">
      <c r="A26" t="n">
        <v>24</v>
      </c>
      <c r="B26" t="inlineStr">
        <is>
          <t>AKA Labs</t>
        </is>
      </c>
      <c r="C26" t="inlineStr">
        <is>
          <t>Reduce appetite strips (berberine + saffron)</t>
        </is>
      </c>
      <c r="D26" t="inlineStr">
        <is>
          <t>Oral strip</t>
        </is>
      </c>
      <c r="E26" t="n">
        <v>30</v>
      </c>
      <c r="F26" t="n">
        <v>30</v>
      </c>
      <c r="G26" s="3" t="n"/>
      <c r="H26" s="3" t="n"/>
      <c r="I26" s="3">
        <f>IF(OR(F26="",G26=""),"",ROUND(G26/F26,2))</f>
        <v/>
      </c>
      <c r="K26" s="3">
        <f>IF(OR(J26="",I26=""),"",ROUND(I26/J26*1000,2))</f>
        <v/>
      </c>
      <c r="M26" t="inlineStr"/>
      <c r="N26" t="inlineStr">
        <is>
          <t>AKA Labs</t>
        </is>
      </c>
      <c r="O26" t="inlineStr">
        <is>
          <t>Value</t>
        </is>
      </c>
      <c r="P26" t="inlineStr">
        <is>
          <t>Format: strip, appetite</t>
        </is>
      </c>
      <c r="Q26" t="inlineStr">
        <is>
          <t>Blue tin</t>
        </is>
      </c>
      <c r="R26" t="inlineStr">
        <is>
          <t>Price cut off in screenshot</t>
        </is>
      </c>
    </row>
    <row r="27">
      <c r="A27" t="n">
        <v>25</v>
      </c>
      <c r="B27" t="inlineStr">
        <is>
          <t>Noovit (Supliful)</t>
        </is>
      </c>
      <c r="C27" t="inlineStr">
        <is>
          <t>Berberine capsules</t>
        </is>
      </c>
      <c r="D27" t="inlineStr">
        <is>
          <t>Capsule</t>
        </is>
      </c>
      <c r="E27" t="n">
        <v>60</v>
      </c>
      <c r="F27" t="n">
        <v>30</v>
      </c>
      <c r="G27" s="3" t="n">
        <v>36</v>
      </c>
      <c r="H27" s="3" t="n"/>
      <c r="I27" s="3">
        <f>IF(OR(F27="",G27=""),"",ROUND(G27/F27,2))</f>
        <v/>
      </c>
      <c r="J27" t="n">
        <v>146</v>
      </c>
      <c r="K27" s="3">
        <f>IF(OR(J27="",I27=""),"",ROUND(I27/J27*1000,2))</f>
        <v/>
      </c>
      <c r="M27" t="inlineStr"/>
      <c r="N27" t="inlineStr">
        <is>
          <t>noovit.com</t>
        </is>
      </c>
      <c r="O27" t="inlineStr">
        <is>
          <t>Core</t>
        </is>
      </c>
      <c r="P27" t="inlineStr">
        <is>
          <t>Evidence-graded (planned)</t>
        </is>
      </c>
      <c r="Q27" t="inlineStr">
        <is>
          <t>Label option B</t>
        </is>
      </c>
      <c r="R27" t="inlineStr">
        <is>
          <t>~146 mg/day is our estimate from the ingredient list: VERIFY with Supliful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60" customWidth="1" min="7" max="7"/>
    <col width="60" customWidth="1" min="8" max="8"/>
  </cols>
  <sheetData>
    <row r="1">
      <c r="A1" s="2" t="inlineStr">
        <is>
          <t>Tier</t>
        </is>
      </c>
      <c r="B1" s="2" t="inlineStr">
        <is>
          <t>Listings</t>
        </is>
      </c>
      <c r="C1" s="2" t="inlineStr">
        <is>
          <t>Min price $</t>
        </is>
      </c>
      <c r="D1" s="2" t="inlineStr">
        <is>
          <t>Median price $</t>
        </is>
      </c>
      <c r="E1" s="2" t="inlineStr">
        <is>
          <t>Max price $</t>
        </is>
      </c>
      <c r="F1" s="2" t="inlineStr">
        <is>
          <t>Avg price/day $</t>
        </is>
      </c>
      <c r="G1" s="2" t="inlineStr">
        <is>
          <t>Who</t>
        </is>
      </c>
      <c r="H1" s="2" t="inlineStr">
        <is>
          <t>Implication for Noovit</t>
        </is>
      </c>
    </row>
    <row r="2">
      <c r="A2" t="inlineStr">
        <is>
          <t>Value</t>
        </is>
      </c>
      <c r="B2">
        <f>COUNTIF('Berberine competitors'!O$3:O$27,A2)</f>
        <v/>
      </c>
      <c r="C2" s="3">
        <f>_xlfn.MINIFS('Berberine competitors'!G$3:G$27,'Berberine competitors'!O$3:O$27,A2)</f>
        <v/>
      </c>
      <c r="D2" s="3">
        <f t="array" ref="D2">MEDIAN(IF(('Berberine competitors'!O$3:O$27=A2)*('Berberine competitors'!G$3:G$27&lt;&gt;""),'Berberine competitors'!G$3:G$27))</f>
        <v/>
      </c>
      <c r="E2" s="3">
        <f>_xlfn.MAXIFS('Berberine competitors'!G$3:G$27,'Berberine competitors'!O$3:O$27,A2)</f>
        <v/>
      </c>
      <c r="F2" s="3">
        <f>IFERROR(ROUND(AVERAGEIFS('Berberine competitors'!I$3:I$27,'Berberine competitors'!O$3:O$27,A2),2),"")</f>
        <v/>
      </c>
      <c r="G2" t="inlineStr">
        <is>
          <t>Naked 200 mg, patches, strips</t>
        </is>
      </c>
      <c r="H2" t="inlineStr">
        <is>
          <t>Patches/strips: weak evidence. Naked shows HSA/FSA.</t>
        </is>
      </c>
    </row>
    <row r="3">
      <c r="A3" t="inlineStr">
        <is>
          <t>Core</t>
        </is>
      </c>
      <c r="B3">
        <f>COUNTIF('Berberine competitors'!O$3:O$27,A3)</f>
        <v/>
      </c>
      <c r="C3" s="3">
        <f>_xlfn.MINIFS('Berberine competitors'!G$3:G$27,'Berberine competitors'!O$3:O$27,A3)</f>
        <v/>
      </c>
      <c r="D3" s="3">
        <f t="array" ref="D3">MEDIAN(IF(('Berberine competitors'!O$3:O$27=A3)*('Berberine competitors'!G$3:G$27&lt;&gt;""),'Berberine competitors'!G$3:G$27))</f>
        <v/>
      </c>
      <c r="E3" s="3">
        <f>_xlfn.MAXIFS('Berberine competitors'!G$3:G$27,'Berberine competitors'!O$3:O$27,A3)</f>
        <v/>
      </c>
      <c r="F3" s="3">
        <f>IFERROR(ROUND(AVERAGEIFS('Berberine competitors'!I$3:I$27,'Berberine competitors'!O$3:O$27,A3),2),"")</f>
        <v/>
      </c>
      <c r="G3" t="inlineStr">
        <is>
          <t>Thorne, NAOMI, Absorption, Vitasy, GLOV, Jade, Terry, Global Healing, Omre</t>
        </is>
      </c>
      <c r="H3" t="inlineStr">
        <is>
          <t>OUR TIER: plain 60-cap berberine at $30-47, median ~$37</t>
        </is>
      </c>
    </row>
    <row r="4">
      <c r="A4" t="inlineStr">
        <is>
          <t>Weight / GLP-1</t>
        </is>
      </c>
      <c r="B4">
        <f>COUNTIF('Berberine competitors'!O$3:O$27,A4)</f>
        <v/>
      </c>
      <c r="C4" s="3">
        <f>_xlfn.MINIFS('Berberine competitors'!G$3:G$27,'Berberine competitors'!O$3:O$27,A4)</f>
        <v/>
      </c>
      <c r="D4" s="3">
        <f t="array" ref="D4">MEDIAN(IF(('Berberine competitors'!O$3:O$27=A4)*('Berberine competitors'!G$3:G$27&lt;&gt;""),'Berberine competitors'!G$3:G$27))</f>
        <v/>
      </c>
      <c r="E4" s="3">
        <f>_xlfn.MAXIFS('Berberine competitors'!G$3:G$27,'Berberine competitors'!O$3:O$27,A4)</f>
        <v/>
      </c>
      <c r="F4" s="3">
        <f>IFERROR(ROUND(AVERAGEIFS('Berberine competitors'!I$3:I$27,'Berberine competitors'!O$3:O$27,A4),2),"")</f>
        <v/>
      </c>
      <c r="G4" t="inlineStr">
        <is>
          <t>Midi, SpoiledChild, Tonum, Happy Mammoth, Clade, Absorption WLP-1</t>
        </is>
      </c>
      <c r="H4" t="inlineStr">
        <is>
          <t>Avoid: 'GLP-1' / weight-loss claims are FDA/FTC enforcement targets</t>
        </is>
      </c>
    </row>
    <row r="5">
      <c r="A5" t="inlineStr">
        <is>
          <t>Big pack</t>
        </is>
      </c>
      <c r="B5">
        <f>COUNTIF('Berberine competitors'!O$3:O$27,A5)</f>
        <v/>
      </c>
      <c r="C5" s="3">
        <f>_xlfn.MINIFS('Berberine competitors'!G$3:G$27,'Berberine competitors'!O$3:O$27,A5)</f>
        <v/>
      </c>
      <c r="D5" s="3">
        <f t="array" ref="D5">MEDIAN(IF(('Berberine competitors'!O$3:O$27=A5)*('Berberine competitors'!G$3:G$27&lt;&gt;""),'Berberine competitors'!G$3:G$27))</f>
        <v/>
      </c>
      <c r="E5" s="3">
        <f>_xlfn.MAXIFS('Berberine competitors'!G$3:G$27,'Berberine competitors'!O$3:O$27,A5)</f>
        <v/>
      </c>
      <c r="F5" s="3">
        <f>IFERROR(ROUND(AVERAGEIFS('Berberine competitors'!I$3:I$27,'Berberine competitors'!O$3:O$27,A5),2),"")</f>
        <v/>
      </c>
      <c r="G5" t="inlineStr">
        <is>
          <t>Xymogen 120, Dr Juan 3-pack, Mara Labs</t>
        </is>
      </c>
      <c r="H5" t="inlineStr">
        <is>
          <t>Our 3- and 6-packs compete here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2" customWidth="1" min="9" max="9"/>
    <col width="11" customWidth="1" min="10" max="10"/>
    <col width="10" customWidth="1" min="11" max="11"/>
    <col width="16" customWidth="1" min="12" max="12"/>
    <col width="12" customWidth="1" min="13" max="13"/>
  </cols>
  <sheetData>
    <row r="1">
      <c r="A1" s="4" t="inlineStr">
        <is>
          <t>Berberine 60 caps via Supliful. Orange cells are inputs: change them and everything recalculates.</t>
        </is>
      </c>
    </row>
    <row r="3">
      <c r="A3" t="inlineStr">
        <is>
          <t>Landed cost per bottle, free plan $ (product + shipping + fulfilment + processing)</t>
        </is>
      </c>
      <c r="B3" s="5" t="n">
        <v>10.25</v>
      </c>
    </row>
    <row r="4">
      <c r="A4" t="inlineStr">
        <is>
          <t>Landed cost per bottle, Pro plan $ (ESTIMATE: same ~$3 saving as turmeric; confirm)</t>
        </is>
      </c>
      <c r="B4" s="5" t="n">
        <v>7.2</v>
      </c>
    </row>
    <row r="5">
      <c r="A5" t="inlineStr">
        <is>
          <t>Extra bottle in same order $ (product only, estimate)</t>
        </is>
      </c>
      <c r="B5" s="5" t="n">
        <v>3.75</v>
      </c>
    </row>
    <row r="6">
      <c r="A6" t="inlineStr">
        <is>
          <t>Stripe fee %</t>
        </is>
      </c>
      <c r="B6" s="6" t="n">
        <v>0.029</v>
      </c>
    </row>
    <row r="7">
      <c r="A7" t="inlineStr">
        <is>
          <t>Stripe fixed fee per order $</t>
        </is>
      </c>
      <c r="B7" s="5" t="n">
        <v>0.3</v>
      </c>
    </row>
    <row r="8">
      <c r="A8" t="inlineStr">
        <is>
          <t>Ad cost to win a new customer $ (estimate)</t>
        </is>
      </c>
      <c r="B8" s="5" t="n">
        <v>18</v>
      </c>
    </row>
    <row r="9">
      <c r="A9" t="inlineStr">
        <is>
          <t>Supliful Pro monthly fee $</t>
        </is>
      </c>
      <c r="B9" s="5" t="n">
        <v>69</v>
      </c>
    </row>
    <row r="10">
      <c r="A10" t="inlineStr">
        <is>
          <t>Noovit Berberine mg/day</t>
        </is>
      </c>
      <c r="B10" s="8" t="n">
        <v>146</v>
      </c>
    </row>
    <row r="11">
      <c r="A11" s="4" t="inlineStr">
        <is>
          <t>Pro break-even (bottles per month)</t>
        </is>
      </c>
      <c r="B11">
        <f>ROUND(B9/(B3-B4),0)</f>
        <v/>
      </c>
    </row>
    <row r="13">
      <c r="A13" s="7" t="inlineStr">
        <is>
          <t>Offer</t>
        </is>
      </c>
      <c r="B13" s="7" t="inlineStr">
        <is>
          <t>Bottles in order</t>
        </is>
      </c>
      <c r="C13" s="7" t="inlineStr">
        <is>
          <t>Price per bottle $</t>
        </is>
      </c>
      <c r="D13" s="7" t="inlineStr">
        <is>
          <t>Order revenue $</t>
        </is>
      </c>
      <c r="E13" s="7" t="inlineStr">
        <is>
          <t>Landed cost, free $</t>
        </is>
      </c>
      <c r="F13" s="7" t="inlineStr">
        <is>
          <t>Stripe $</t>
        </is>
      </c>
      <c r="G13" s="7" t="inlineStr">
        <is>
          <t>Profit, free $</t>
        </is>
      </c>
      <c r="H13" s="7" t="inlineStr">
        <is>
          <t>Margin, free</t>
        </is>
      </c>
      <c r="I13" s="7" t="inlineStr">
        <is>
          <t>Landed cost, Pro $</t>
        </is>
      </c>
      <c r="J13" s="7" t="inlineStr">
        <is>
          <t>Profit, Pro $</t>
        </is>
      </c>
      <c r="K13" s="7" t="inlineStr">
        <is>
          <t>Margin, Pro</t>
        </is>
      </c>
      <c r="L13" s="7" t="inlineStr">
        <is>
          <t>Profit after ad cost (first order, free) $</t>
        </is>
      </c>
      <c r="M13" s="7" t="inlineStr">
        <is>
          <t>$ per 1,000 mg</t>
        </is>
      </c>
    </row>
    <row r="14">
      <c r="A14" t="inlineStr">
        <is>
          <t>Supliful suggested retail</t>
        </is>
      </c>
      <c r="B14" s="8" t="n">
        <v>1</v>
      </c>
      <c r="C14" s="5" t="n">
        <v>39.9</v>
      </c>
      <c r="D14" s="3">
        <f>B14*C14</f>
        <v/>
      </c>
      <c r="E14" s="3">
        <f>$B$3+(B14-1)*$B$5</f>
        <v/>
      </c>
      <c r="F14" s="3">
        <f>ROUND(D14*$B$6+$B$7,2)</f>
        <v/>
      </c>
      <c r="G14" s="3">
        <f>D14-E14-F14</f>
        <v/>
      </c>
      <c r="H14" s="9">
        <f>G14/D14</f>
        <v/>
      </c>
      <c r="I14" s="3">
        <f>$B$4+(B14-1)*$B$5</f>
        <v/>
      </c>
      <c r="J14" s="3">
        <f>D14-I14-F14</f>
        <v/>
      </c>
      <c r="K14" s="9">
        <f>J14/D14</f>
        <v/>
      </c>
      <c r="L14" s="3">
        <f>G14-$B$8</f>
        <v/>
      </c>
      <c r="M14" s="3">
        <f>ROUND(C14/30/$B$10*1000,2)</f>
        <v/>
      </c>
    </row>
    <row r="15">
      <c r="A15" t="inlineStr">
        <is>
          <t>One-time (catalog today)</t>
        </is>
      </c>
      <c r="B15" s="8" t="n">
        <v>1</v>
      </c>
      <c r="C15" s="5" t="n">
        <v>40</v>
      </c>
      <c r="D15" s="3">
        <f>B15*C15</f>
        <v/>
      </c>
      <c r="E15" s="3">
        <f>$B$3+(B15-1)*$B$5</f>
        <v/>
      </c>
      <c r="F15" s="3">
        <f>ROUND(D15*$B$6+$B$7,2)</f>
        <v/>
      </c>
      <c r="G15" s="3">
        <f>D15-E15-F15</f>
        <v/>
      </c>
      <c r="H15" s="9">
        <f>G15/D15</f>
        <v/>
      </c>
      <c r="I15" s="3">
        <f>$B$4+(B15-1)*$B$5</f>
        <v/>
      </c>
      <c r="J15" s="3">
        <f>D15-I15-F15</f>
        <v/>
      </c>
      <c r="K15" s="9">
        <f>J15/D15</f>
        <v/>
      </c>
      <c r="L15" s="3">
        <f>G15-$B$8</f>
        <v/>
      </c>
      <c r="M15" s="3">
        <f>ROUND(C15/30/$B$10*1000,2)</f>
        <v/>
      </c>
    </row>
    <row r="16">
      <c r="A16" t="inlineStr">
        <is>
          <t>One-time (suggested)</t>
        </is>
      </c>
      <c r="B16" s="8" t="n">
        <v>1</v>
      </c>
      <c r="C16" s="5" t="n">
        <v>36</v>
      </c>
      <c r="D16" s="3">
        <f>B16*C16</f>
        <v/>
      </c>
      <c r="E16" s="3">
        <f>$B$3+(B16-1)*$B$5</f>
        <v/>
      </c>
      <c r="F16" s="3">
        <f>ROUND(D16*$B$6+$B$7,2)</f>
        <v/>
      </c>
      <c r="G16" s="3">
        <f>D16-E16-F16</f>
        <v/>
      </c>
      <c r="H16" s="9">
        <f>G16/D16</f>
        <v/>
      </c>
      <c r="I16" s="3">
        <f>$B$4+(B16-1)*$B$5</f>
        <v/>
      </c>
      <c r="J16" s="3">
        <f>D16-I16-F16</f>
        <v/>
      </c>
      <c r="K16" s="9">
        <f>J16/D16</f>
        <v/>
      </c>
      <c r="L16" s="3">
        <f>G16-$B$8</f>
        <v/>
      </c>
      <c r="M16" s="3">
        <f>ROUND(C16/30/$B$10*1000,2)</f>
        <v/>
      </c>
    </row>
    <row r="17">
      <c r="A17" t="inlineStr">
        <is>
          <t>Subscribe (suggested)</t>
        </is>
      </c>
      <c r="B17" s="8" t="n">
        <v>1</v>
      </c>
      <c r="C17" s="5" t="n">
        <v>32</v>
      </c>
      <c r="D17" s="3">
        <f>B17*C17</f>
        <v/>
      </c>
      <c r="E17" s="3">
        <f>$B$3+(B17-1)*$B$5</f>
        <v/>
      </c>
      <c r="F17" s="3">
        <f>ROUND(D17*$B$6+$B$7,2)</f>
        <v/>
      </c>
      <c r="G17" s="3">
        <f>D17-E17-F17</f>
        <v/>
      </c>
      <c r="H17" s="9">
        <f>G17/D17</f>
        <v/>
      </c>
      <c r="I17" s="3">
        <f>$B$4+(B17-1)*$B$5</f>
        <v/>
      </c>
      <c r="J17" s="3">
        <f>D17-I17-F17</f>
        <v/>
      </c>
      <c r="K17" s="9">
        <f>J17/D17</f>
        <v/>
      </c>
      <c r="L17" s="3">
        <f>G17-$B$8</f>
        <v/>
      </c>
      <c r="M17" s="3">
        <f>ROUND(C17/30/$B$10*1000,2)</f>
        <v/>
      </c>
    </row>
    <row r="18">
      <c r="A18" t="inlineStr">
        <is>
          <t>Low (if dose stays ~146 mg)</t>
        </is>
      </c>
      <c r="B18" s="8" t="n">
        <v>1</v>
      </c>
      <c r="C18" s="5" t="n">
        <v>29</v>
      </c>
      <c r="D18" s="3">
        <f>B18*C18</f>
        <v/>
      </c>
      <c r="E18" s="3">
        <f>$B$3+(B18-1)*$B$5</f>
        <v/>
      </c>
      <c r="F18" s="3">
        <f>ROUND(D18*$B$6+$B$7,2)</f>
        <v/>
      </c>
      <c r="G18" s="3">
        <f>D18-E18-F18</f>
        <v/>
      </c>
      <c r="H18" s="9">
        <f>G18/D18</f>
        <v/>
      </c>
      <c r="I18" s="3">
        <f>$B$4+(B18-1)*$B$5</f>
        <v/>
      </c>
      <c r="J18" s="3">
        <f>D18-I18-F18</f>
        <v/>
      </c>
      <c r="K18" s="9">
        <f>J18/D18</f>
        <v/>
      </c>
      <c r="L18" s="3">
        <f>G18-$B$8</f>
        <v/>
      </c>
      <c r="M18" s="3">
        <f>ROUND(C18/30/$B$10*1000,2)</f>
        <v/>
      </c>
    </row>
    <row r="19">
      <c r="A19" t="inlineStr">
        <is>
          <t>3-pack one-time</t>
        </is>
      </c>
      <c r="B19" s="8" t="n">
        <v>3</v>
      </c>
      <c r="C19" s="5" t="n">
        <v>32</v>
      </c>
      <c r="D19" s="3">
        <f>B19*C19</f>
        <v/>
      </c>
      <c r="E19" s="3">
        <f>$B$3+(B19-1)*$B$5</f>
        <v/>
      </c>
      <c r="F19" s="3">
        <f>ROUND(D19*$B$6+$B$7,2)</f>
        <v/>
      </c>
      <c r="G19" s="3">
        <f>D19-E19-F19</f>
        <v/>
      </c>
      <c r="H19" s="9">
        <f>G19/D19</f>
        <v/>
      </c>
      <c r="I19" s="3">
        <f>$B$4+(B19-1)*$B$5</f>
        <v/>
      </c>
      <c r="J19" s="3">
        <f>D19-I19-F19</f>
        <v/>
      </c>
      <c r="K19" s="9">
        <f>J19/D19</f>
        <v/>
      </c>
      <c r="L19" s="3">
        <f>G19-$B$8</f>
        <v/>
      </c>
      <c r="M19" s="3">
        <f>ROUND(C19/30/$B$10*1000,2)</f>
        <v/>
      </c>
    </row>
    <row r="20">
      <c r="A20" t="inlineStr">
        <is>
          <t>6-pack one-time</t>
        </is>
      </c>
      <c r="B20" s="8" t="n">
        <v>6</v>
      </c>
      <c r="C20" s="5" t="n">
        <v>29</v>
      </c>
      <c r="D20" s="3">
        <f>B20*C20</f>
        <v/>
      </c>
      <c r="E20" s="3">
        <f>$B$3+(B20-1)*$B$5</f>
        <v/>
      </c>
      <c r="F20" s="3">
        <f>ROUND(D20*$B$6+$B$7,2)</f>
        <v/>
      </c>
      <c r="G20" s="3">
        <f>D20-E20-F20</f>
        <v/>
      </c>
      <c r="H20" s="9">
        <f>G20/D20</f>
        <v/>
      </c>
      <c r="I20" s="3">
        <f>$B$4+(B20-1)*$B$5</f>
        <v/>
      </c>
      <c r="J20" s="3">
        <f>D20-I20-F20</f>
        <v/>
      </c>
      <c r="K20" s="9">
        <f>J20/D20</f>
        <v/>
      </c>
      <c r="L20" s="3">
        <f>G20-$B$8</f>
        <v/>
      </c>
      <c r="M20" s="3">
        <f>ROUND(C20/30/$B$10*1000,2)</f>
        <v/>
      </c>
    </row>
    <row r="23">
      <c r="A23" s="4" t="inlineStr">
        <is>
          <t>Per-mg comparison: price per bottle Noovit would need to match each competitor's $ per 1,000 mg (at B10 mg/day, 30 days per bottle)</t>
        </is>
      </c>
    </row>
    <row r="24">
      <c r="A24" s="11" t="inlineStr">
        <is>
          <t>Competitor</t>
        </is>
      </c>
      <c r="B24" s="11" t="inlineStr">
        <is>
          <t>Their mg/day</t>
        </is>
      </c>
      <c r="C24" s="11" t="inlineStr">
        <is>
          <t>Their price/day $</t>
        </is>
      </c>
      <c r="D24" s="11" t="inlineStr">
        <is>
          <t>Their $ per 1,000 mg</t>
        </is>
      </c>
      <c r="E24" s="11" t="inlineStr">
        <is>
          <t>Noovit price to match $</t>
        </is>
      </c>
    </row>
    <row r="25">
      <c r="A25">
        <f>'Berberine competitors'!B4&amp;" – "&amp;'Berberine competitors'!C4</f>
        <v/>
      </c>
      <c r="B25">
        <f>'Berberine competitors'!J4</f>
        <v/>
      </c>
      <c r="C25" s="3">
        <f>'Berberine competitors'!I4</f>
        <v/>
      </c>
      <c r="D25" s="3">
        <f>'Berberine competitors'!K4</f>
        <v/>
      </c>
      <c r="E25" s="3">
        <f>ROUND(D25/1000*$B$10*30,2)</f>
        <v/>
      </c>
    </row>
    <row r="26">
      <c r="A26">
        <f>'Berberine competitors'!B5&amp;" – "&amp;'Berberine competitors'!C5</f>
        <v/>
      </c>
      <c r="B26">
        <f>'Berberine competitors'!J5</f>
        <v/>
      </c>
      <c r="C26" s="3">
        <f>'Berberine competitors'!I5</f>
        <v/>
      </c>
      <c r="D26" s="3">
        <f>'Berberine competitors'!K5</f>
        <v/>
      </c>
      <c r="E26" s="3">
        <f>ROUND(D26/1000*$B$10*30,2)</f>
        <v/>
      </c>
    </row>
    <row r="27">
      <c r="A27">
        <f>'Berberine competitors'!B9&amp;" – "&amp;'Berberine competitors'!C9</f>
        <v/>
      </c>
      <c r="B27">
        <f>'Berberine competitors'!J9</f>
        <v/>
      </c>
      <c r="C27" s="3">
        <f>'Berberine competitors'!I9</f>
        <v/>
      </c>
      <c r="D27" s="3">
        <f>'Berberine competitors'!K9</f>
        <v/>
      </c>
      <c r="E27" s="3">
        <f>ROUND(D27/1000*$B$10*30,2)</f>
        <v/>
      </c>
    </row>
    <row r="28">
      <c r="A28">
        <f>'Berberine competitors'!B11&amp;" – "&amp;'Berberine competitors'!C11</f>
        <v/>
      </c>
      <c r="B28">
        <f>'Berberine competitors'!J11</f>
        <v/>
      </c>
      <c r="C28" s="3">
        <f>'Berberine competitors'!I11</f>
        <v/>
      </c>
      <c r="D28" s="3">
        <f>'Berberine competitors'!K11</f>
        <v/>
      </c>
      <c r="E28" s="3">
        <f>ROUND(D28/1000*$B$10*30,2)</f>
        <v/>
      </c>
    </row>
    <row r="29">
      <c r="A29">
        <f>'Berberine competitors'!B12&amp;" – "&amp;'Berberine competitors'!C12</f>
        <v/>
      </c>
      <c r="B29">
        <f>'Berberine competitors'!J12</f>
        <v/>
      </c>
      <c r="C29" s="3">
        <f>'Berberine competitors'!I12</f>
        <v/>
      </c>
      <c r="D29" s="3">
        <f>'Berberine competitors'!K12</f>
        <v/>
      </c>
      <c r="E29" s="3">
        <f>ROUND(D29/1000*$B$10*30,2)</f>
        <v/>
      </c>
    </row>
    <row r="30">
      <c r="A30">
        <f>'Berberine competitors'!B14&amp;" – "&amp;'Berberine competitors'!C14</f>
        <v/>
      </c>
      <c r="B30">
        <f>'Berberine competitors'!J14</f>
        <v/>
      </c>
      <c r="C30" s="3">
        <f>'Berberine competitors'!I14</f>
        <v/>
      </c>
      <c r="D30" s="3">
        <f>'Berberine competitors'!K14</f>
        <v/>
      </c>
      <c r="E30" s="3">
        <f>ROUND(D30/1000*$B$10*30,2)</f>
        <v/>
      </c>
    </row>
    <row r="31">
      <c r="A31">
        <f>'Berberine competitors'!B23&amp;" – "&amp;'Berberine competitors'!C23</f>
        <v/>
      </c>
      <c r="B31">
        <f>'Berberine competitors'!J23</f>
        <v/>
      </c>
      <c r="C31" s="3">
        <f>'Berberine competitors'!I23</f>
        <v/>
      </c>
      <c r="D31" s="3">
        <f>'Berberine competitors'!K23</f>
        <v/>
      </c>
      <c r="E31" s="3">
        <f>ROUND(D31/1000*$B$10*30,2)</f>
        <v/>
      </c>
    </row>
    <row r="33">
      <c r="A33" s="10" t="inlineStr">
        <is>
          <t>Notes</t>
        </is>
      </c>
    </row>
    <row r="34">
      <c r="A34" s="1" t="inlineStr">
        <is>
          <t>Supliful shows $3.75 – $10.25: $3.75 is the product, $10.25 the all-in cost of one bottle delivered. Suggested retail $39.90.</t>
        </is>
      </c>
    </row>
    <row r="35">
      <c r="A35" s="1" t="inlineStr">
        <is>
          <t>DOSE CHECK: Supliful lists 790 mg Berberine HCl extract 8% + 10 mg extract 97% per capsule. If the % is berberine, that is ~73 mg/capsule, ~146 mg/day (B10).</t>
        </is>
      </c>
    </row>
    <row r="36">
      <c r="A36" s="1" t="inlineStr">
        <is>
          <t>At ~146 mg/day we are the MOST EXPENSIVE per mg in the grid: ~$8.22 per 1,000 mg at $36 vs $1.06–4.25 for competitors. Matching Thorne 500 mg per mg would mean ~$6.40 a bottle.</t>
        </is>
      </c>
    </row>
    <row r="37">
      <c r="A37" s="1" t="inlineStr">
        <is>
          <t>Studies use 900–1,500 mg/day; competitors sell 400–1,200 mg/day. Ask Supliful for the Supplement Facts/COA before pricing or launching. Change B10 when confirmed.</t>
        </is>
      </c>
    </row>
    <row r="38">
      <c r="A38" s="1" t="inlineStr">
        <is>
          <t>Competitor prices from Google Shopping on 28 Oct 2026; they change often.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7" customWidth="1" min="12" max="12"/>
    <col width="8" customWidth="1" min="13" max="13"/>
    <col width="16" customWidth="1" min="14" max="14"/>
    <col width="14" customWidth="1" min="15" max="15"/>
    <col width="40" customWidth="1" min="16" max="16"/>
    <col width="26" customWidth="1" min="17" max="17"/>
    <col width="34" customWidth="1" min="18" max="18"/>
  </cols>
  <sheetData>
    <row r="1">
      <c r="A1" s="1" t="inlineStr">
        <is>
          <t>Google Shopping, 'lion's mane mushroom supplement', Denver CO, 28 Oct 2026 (sponsored carousel, 20 listings). mg/day = mushroom powder or extract as labelled (extracts are not 1:1 with powder). ~ = assumed.</t>
        </is>
      </c>
    </row>
    <row r="2">
      <c r="A2" s="2" t="inlineStr">
        <is>
          <t>#</t>
        </is>
      </c>
      <c r="B2" s="2" t="inlineStr">
        <is>
          <t>Brand</t>
        </is>
      </c>
      <c r="C2" s="2" t="inlineStr">
        <is>
          <t>Product</t>
        </is>
      </c>
      <c r="D2" s="2" t="inlineStr">
        <is>
          <t>Format</t>
        </is>
      </c>
      <c r="E2" s="2" t="inlineStr">
        <is>
          <t>Count</t>
        </is>
      </c>
      <c r="F2" s="2" t="inlineStr">
        <is>
          <t>Servings (days)</t>
        </is>
      </c>
      <c r="G2" s="2" t="inlineStr">
        <is>
          <t>Price $</t>
        </is>
      </c>
      <c r="H2" s="2" t="inlineStr">
        <is>
          <t>Was $</t>
        </is>
      </c>
      <c r="I2" s="2" t="inlineStr">
        <is>
          <t>Price per day $</t>
        </is>
      </c>
      <c r="J2" s="2" t="inlineStr">
        <is>
          <t>Lion's mane mg/day</t>
        </is>
      </c>
      <c r="K2" s="2" t="inlineStr">
        <is>
          <t>$ per 1,000 mg</t>
        </is>
      </c>
      <c r="L2" s="2" t="inlineStr">
        <is>
          <t>Rating</t>
        </is>
      </c>
      <c r="M2" s="2" t="inlineStr">
        <is>
          <t>Reviews</t>
        </is>
      </c>
      <c r="N2" s="2" t="inlineStr">
        <is>
          <t>Seller</t>
        </is>
      </c>
      <c r="O2" s="2" t="inlineStr">
        <is>
          <t>Tier</t>
        </is>
      </c>
      <c r="P2" s="2" t="inlineStr">
        <is>
          <t>Lead angle / badges</t>
        </is>
      </c>
      <c r="Q2" s="2" t="inlineStr">
        <is>
          <t>Look</t>
        </is>
      </c>
      <c r="R2" s="2" t="inlineStr">
        <is>
          <t>Notes</t>
        </is>
      </c>
    </row>
    <row r="3">
      <c r="A3" t="n">
        <v>1</v>
      </c>
      <c r="B3" t="inlineStr">
        <is>
          <t>Vitasy</t>
        </is>
      </c>
      <c r="C3" t="inlineStr">
        <is>
          <t>Cortex Lion's Mane Mushroom 1000 mg</t>
        </is>
      </c>
      <c r="D3" t="inlineStr">
        <is>
          <t>Capsule</t>
        </is>
      </c>
      <c r="E3" t="n">
        <v>60</v>
      </c>
      <c r="F3" t="n">
        <v>30</v>
      </c>
      <c r="G3" s="3" t="n">
        <v>44.99</v>
      </c>
      <c r="H3" s="3" t="n"/>
      <c r="I3" s="3">
        <f>IF(OR(F3="",G3=""),"",ROUND(G3/F3,2))</f>
        <v/>
      </c>
      <c r="J3" t="n">
        <v>1000</v>
      </c>
      <c r="K3" s="3">
        <f>IF(OR(J3="",I3=""),"",ROUND(I3/J3*1000,2))</f>
        <v/>
      </c>
      <c r="M3" t="inlineStr"/>
      <c r="N3" t="inlineStr">
        <is>
          <t>Vitasy</t>
        </is>
      </c>
      <c r="O3" t="inlineStr">
        <is>
          <t>Core</t>
        </is>
      </c>
      <c r="P3" t="inlineStr">
        <is>
          <t>Supports memory, focus &amp; brain health; free shipping</t>
        </is>
      </c>
      <c r="Q3" t="inlineStr">
        <is>
          <t>Dark navy, minimal</t>
        </is>
      </c>
      <c r="R3" t="inlineStr">
        <is>
          <t>~2 caps/day</t>
        </is>
      </c>
    </row>
    <row r="4">
      <c r="A4" t="n">
        <v>2</v>
      </c>
      <c r="B4" t="inlineStr">
        <is>
          <t>Brainstorm Nutrition</t>
        </is>
      </c>
      <c r="C4" t="inlineStr">
        <is>
          <t>Lion's Mane Mushroom 1000 mg</t>
        </is>
      </c>
      <c r="D4" t="inlineStr">
        <is>
          <t>Capsule</t>
        </is>
      </c>
      <c r="E4" t="n">
        <v>60</v>
      </c>
      <c r="F4" t="n">
        <v>30</v>
      </c>
      <c r="G4" s="3" t="n">
        <v>34.99</v>
      </c>
      <c r="H4" s="3" t="n"/>
      <c r="I4" s="3">
        <f>IF(OR(F4="",G4=""),"",ROUND(G4/F4,2))</f>
        <v/>
      </c>
      <c r="J4" t="n">
        <v>1000</v>
      </c>
      <c r="K4" s="3">
        <f>IF(OR(J4="",I4=""),"",ROUND(I4/J4*1000,2))</f>
        <v/>
      </c>
      <c r="M4" t="inlineStr"/>
      <c r="N4" t="inlineStr">
        <is>
          <t>Brainstorm</t>
        </is>
      </c>
      <c r="O4" t="inlineStr">
        <is>
          <t>Core</t>
        </is>
      </c>
      <c r="P4" t="inlineStr">
        <is>
          <t>Focus, clarity, performance</t>
        </is>
      </c>
      <c r="Q4" t="inlineStr">
        <is>
          <t>Grey label, mountain art</t>
        </is>
      </c>
      <c r="R4" t="inlineStr">
        <is>
          <t>~2 caps/day</t>
        </is>
      </c>
    </row>
    <row r="5">
      <c r="A5" t="n">
        <v>3</v>
      </c>
      <c r="B5" t="inlineStr">
        <is>
          <t>Eversio Wellness</t>
        </is>
      </c>
      <c r="C5" t="inlineStr">
        <is>
          <t>Lion's Mane 8:1 dual extract, 500 mg</t>
        </is>
      </c>
      <c r="D5" t="inlineStr">
        <is>
          <t>Capsule</t>
        </is>
      </c>
      <c r="E5" t="n">
        <v>60</v>
      </c>
      <c r="F5" t="n">
        <v>60</v>
      </c>
      <c r="G5" s="3" t="n">
        <v>49.99</v>
      </c>
      <c r="H5" s="3" t="n"/>
      <c r="I5" s="3">
        <f>IF(OR(F5="",G5=""),"",ROUND(G5/F5,2))</f>
        <v/>
      </c>
      <c r="J5" t="n">
        <v>500</v>
      </c>
      <c r="K5" s="3">
        <f>IF(OR(J5="",I5=""),"",ROUND(I5/J5*1000,2))</f>
        <v/>
      </c>
      <c r="L5" t="n">
        <v>4.9</v>
      </c>
      <c r="M5" t="inlineStr">
        <is>
          <t>296</t>
        </is>
      </c>
      <c r="N5" t="inlineStr">
        <is>
          <t>Eversio</t>
        </is>
      </c>
      <c r="O5" t="inlineStr">
        <is>
          <t>Core</t>
        </is>
      </c>
      <c r="P5" t="inlineStr">
        <is>
          <t>Dual extract (water + alcohol), 8:1</t>
        </is>
      </c>
      <c r="Q5" t="inlineStr">
        <is>
          <t>Amber jar, bold blue label</t>
        </is>
      </c>
      <c r="R5" t="inlineStr">
        <is>
          <t>Extract: ~4 g mushroom equivalent; ~1 cap/day</t>
        </is>
      </c>
    </row>
    <row r="6">
      <c r="A6" t="n">
        <v>4</v>
      </c>
      <c r="B6" t="inlineStr">
        <is>
          <t>Future Kind</t>
        </is>
      </c>
      <c r="C6" t="inlineStr">
        <is>
          <t>Vegan Lion's Mane Mushroom Complex</t>
        </is>
      </c>
      <c r="D6" t="inlineStr">
        <is>
          <t>Capsule</t>
        </is>
      </c>
      <c r="E6" t="n">
        <v>60</v>
      </c>
      <c r="F6" t="n">
        <v>30</v>
      </c>
      <c r="G6" s="3" t="n"/>
      <c r="H6" s="3" t="n"/>
      <c r="I6" s="3">
        <f>IF(OR(F6="",G6=""),"",ROUND(G6/F6,2))</f>
        <v/>
      </c>
      <c r="K6" s="3">
        <f>IF(OR(J6="",I6=""),"",ROUND(I6/J6*1000,2))</f>
        <v/>
      </c>
      <c r="L6" t="n">
        <v>4.6</v>
      </c>
      <c r="M6" t="inlineStr">
        <is>
          <t>129</t>
        </is>
      </c>
      <c r="N6" t="inlineStr">
        <is>
          <t>Future Kind</t>
        </is>
      </c>
      <c r="O6" t="inlineStr">
        <is>
          <t>Core</t>
        </is>
      </c>
      <c r="P6" t="inlineStr">
        <is>
          <t>Vegan</t>
        </is>
      </c>
      <c r="Q6" t="inlineStr">
        <is>
          <t>Amber, blush label</t>
        </is>
      </c>
      <c r="R6" t="inlineStr">
        <is>
          <t>Price cut off</t>
        </is>
      </c>
    </row>
    <row r="7">
      <c r="A7" t="n">
        <v>5</v>
      </c>
      <c r="B7" t="inlineStr">
        <is>
          <t>3rd Planet</t>
        </is>
      </c>
      <c r="C7" t="inlineStr">
        <is>
          <t>MycoRev Neuro (via Aduco)</t>
        </is>
      </c>
      <c r="D7" t="inlineStr">
        <is>
          <t>Capsule</t>
        </is>
      </c>
      <c r="E7" t="n">
        <v>60</v>
      </c>
      <c r="F7" t="n">
        <v>30</v>
      </c>
      <c r="G7" s="3" t="n">
        <v>58.5</v>
      </c>
      <c r="H7" s="3" t="n"/>
      <c r="I7" s="3">
        <f>IF(OR(F7="",G7=""),"",ROUND(G7/F7,2))</f>
        <v/>
      </c>
      <c r="K7" s="3">
        <f>IF(OR(J7="",I7=""),"",ROUND(I7/J7*1000,2))</f>
        <v/>
      </c>
      <c r="M7" t="inlineStr"/>
      <c r="N7" t="inlineStr">
        <is>
          <t>Aduco</t>
        </is>
      </c>
      <c r="O7" t="inlineStr">
        <is>
          <t>Core</t>
        </is>
      </c>
      <c r="P7" t="inlineStr">
        <is>
          <t>'Professional grade neurological support'</t>
        </is>
      </c>
      <c r="Q7" t="inlineStr">
        <is>
          <t>Amber, white label</t>
        </is>
      </c>
      <c r="R7" t="inlineStr">
        <is>
          <t>~servings</t>
        </is>
      </c>
    </row>
    <row r="8">
      <c r="A8" t="n">
        <v>6</v>
      </c>
      <c r="B8" t="inlineStr">
        <is>
          <t>SuperFeast</t>
        </is>
      </c>
      <c r="C8" t="inlineStr">
        <is>
          <t>Lion's Mane mushroom extract powder 100 g</t>
        </is>
      </c>
      <c r="D8" t="inlineStr">
        <is>
          <t>Powder</t>
        </is>
      </c>
      <c r="E8" t="n">
        <v>100</v>
      </c>
      <c r="F8" t="n">
        <v>50</v>
      </c>
      <c r="G8" s="3" t="n">
        <v>61</v>
      </c>
      <c r="H8" s="3" t="n"/>
      <c r="I8" s="3">
        <f>IF(OR(F8="",G8=""),"",ROUND(G8/F8,2))</f>
        <v/>
      </c>
      <c r="J8" t="n">
        <v>2000</v>
      </c>
      <c r="K8" s="3">
        <f>IF(OR(J8="",I8=""),"",ROUND(I8/J8*1000,2))</f>
        <v/>
      </c>
      <c r="L8" t="n">
        <v>4.8</v>
      </c>
      <c r="M8" t="inlineStr">
        <is>
          <t>286</t>
        </is>
      </c>
      <c r="N8" t="inlineStr">
        <is>
          <t>SuperFeast</t>
        </is>
      </c>
      <c r="O8" t="inlineStr">
        <is>
          <t>Core</t>
        </is>
      </c>
      <c r="P8" t="inlineStr">
        <is>
          <t>Dual-extracted, Australian brand</t>
        </is>
      </c>
      <c r="Q8" t="inlineStr">
        <is>
          <t>Black Miron glass jar, minimal</t>
        </is>
      </c>
      <c r="R8" t="inlineStr">
        <is>
          <t>~2 g/day</t>
        </is>
      </c>
    </row>
    <row r="9">
      <c r="A9" t="n">
        <v>7</v>
      </c>
      <c r="B9" t="inlineStr">
        <is>
          <t>Feral Fungi</t>
        </is>
      </c>
      <c r="C9" t="inlineStr">
        <is>
          <t>Lion's Mane tincture</t>
        </is>
      </c>
      <c r="D9" t="inlineStr">
        <is>
          <t>Tincture</t>
        </is>
      </c>
      <c r="G9" s="3" t="n">
        <v>100</v>
      </c>
      <c r="H9" s="3" t="n"/>
      <c r="I9" s="3">
        <f>IF(OR(F9="",G9=""),"",ROUND(G9/F9,2))</f>
        <v/>
      </c>
      <c r="K9" s="3">
        <f>IF(OR(J9="",I9=""),"",ROUND(I9/J9*1000,2))</f>
        <v/>
      </c>
      <c r="M9" t="inlineStr"/>
      <c r="N9" t="inlineStr">
        <is>
          <t>Feral Fungi</t>
        </is>
      </c>
      <c r="O9" t="inlineStr">
        <is>
          <t>High</t>
        </is>
      </c>
      <c r="P9" t="inlineStr">
        <is>
          <t>20% off $500+</t>
        </is>
      </c>
      <c r="Q9" t="inlineStr">
        <is>
          <t>Amber dropper, real mushroom photo</t>
        </is>
      </c>
      <c r="R9" t="inlineStr"/>
    </row>
    <row r="10">
      <c r="A10" t="n">
        <v>8</v>
      </c>
      <c r="B10" t="inlineStr">
        <is>
          <t>Sunmed</t>
        </is>
      </c>
      <c r="C10" t="inlineStr">
        <is>
          <t>10 Mushroom all-in-one gummies</t>
        </is>
      </c>
      <c r="D10" t="inlineStr">
        <is>
          <t>Gummy</t>
        </is>
      </c>
      <c r="E10" t="n">
        <v>60</v>
      </c>
      <c r="F10" t="n">
        <v>30</v>
      </c>
      <c r="G10" s="3" t="n">
        <v>34</v>
      </c>
      <c r="H10" s="3" t="n"/>
      <c r="I10" s="3">
        <f>IF(OR(F10="",G10=""),"",ROUND(G10/F10,2))</f>
        <v/>
      </c>
      <c r="K10" s="3">
        <f>IF(OR(J10="",I10=""),"",ROUND(I10/J10*1000,2))</f>
        <v/>
      </c>
      <c r="M10" t="inlineStr"/>
      <c r="N10" t="inlineStr">
        <is>
          <t>Sunmed</t>
        </is>
      </c>
      <c r="O10" t="inlineStr">
        <is>
          <t>Blend / other</t>
        </is>
      </c>
      <c r="P10" t="inlineStr">
        <is>
          <t>10 mushrooms</t>
        </is>
      </c>
      <c r="Q10" t="inlineStr">
        <is>
          <t>Pouch, pastel</t>
        </is>
      </c>
      <c r="R10" t="inlineStr"/>
    </row>
    <row r="11">
      <c r="A11" t="n">
        <v>9</v>
      </c>
      <c r="B11" t="inlineStr">
        <is>
          <t>Auri Nutrition</t>
        </is>
      </c>
      <c r="C11" t="inlineStr">
        <is>
          <t>Super Mushroom Focus Gummies</t>
        </is>
      </c>
      <c r="D11" t="inlineStr">
        <is>
          <t>Gummy</t>
        </is>
      </c>
      <c r="E11" t="n">
        <v>60</v>
      </c>
      <c r="F11" t="n">
        <v>30</v>
      </c>
      <c r="G11" s="3" t="n">
        <v>55</v>
      </c>
      <c r="H11" s="3" t="n"/>
      <c r="I11" s="3">
        <f>IF(OR(F11="",G11=""),"",ROUND(G11/F11,2))</f>
        <v/>
      </c>
      <c r="J11" t="n">
        <v>250</v>
      </c>
      <c r="K11" s="3">
        <f>IF(OR(J11="",I11=""),"",ROUND(I11/J11*1000,2))</f>
        <v/>
      </c>
      <c r="L11" t="n">
        <v>3.8</v>
      </c>
      <c r="M11" t="inlineStr"/>
      <c r="N11" t="inlineStr">
        <is>
          <t>Auri</t>
        </is>
      </c>
      <c r="O11" t="inlineStr">
        <is>
          <t>Blend / other</t>
        </is>
      </c>
      <c r="P11" t="inlineStr">
        <is>
          <t>Lion's mane + alpha GPC + rhodiola</t>
        </is>
      </c>
      <c r="Q11" t="inlineStr">
        <is>
          <t>Black/white pouch</t>
        </is>
      </c>
      <c r="R11" t="inlineStr">
        <is>
          <t>250 mg lion's mane per serving</t>
        </is>
      </c>
    </row>
    <row r="12">
      <c r="A12" t="n">
        <v>10</v>
      </c>
      <c r="B12" t="inlineStr">
        <is>
          <t>First Person</t>
        </is>
      </c>
      <c r="C12" t="inlineStr">
        <is>
          <t>Moonlight mushroom capsules</t>
        </is>
      </c>
      <c r="D12" t="inlineStr">
        <is>
          <t>Capsule (tin)</t>
        </is>
      </c>
      <c r="G12" s="3" t="n">
        <v>50</v>
      </c>
      <c r="H12" s="3" t="n"/>
      <c r="I12" s="3">
        <f>IF(OR(F12="",G12=""),"",ROUND(G12/F12,2))</f>
        <v/>
      </c>
      <c r="K12" s="3">
        <f>IF(OR(J12="",I12=""),"",ROUND(I12/J12*1000,2))</f>
        <v/>
      </c>
      <c r="M12" t="inlineStr"/>
      <c r="N12" t="inlineStr">
        <is>
          <t>First Person</t>
        </is>
      </c>
      <c r="O12" t="inlineStr">
        <is>
          <t>Nootropic brand</t>
        </is>
      </c>
      <c r="P12" t="inlineStr">
        <is>
          <t>Design-led tin</t>
        </is>
      </c>
      <c r="Q12" t="inlineStr">
        <is>
          <t>Lavender tin, capsules shown</t>
        </is>
      </c>
      <c r="R12" t="inlineStr">
        <is>
          <t>Free by 11/10</t>
        </is>
      </c>
    </row>
    <row r="13">
      <c r="A13" t="n">
        <v>11</v>
      </c>
      <c r="B13" t="inlineStr">
        <is>
          <t>Innerbody Labs</t>
        </is>
      </c>
      <c r="C13" t="inlineStr">
        <is>
          <t>Focus Support (multi-month)</t>
        </is>
      </c>
      <c r="D13" t="inlineStr">
        <is>
          <t>Capsule</t>
        </is>
      </c>
      <c r="E13" t="n">
        <v>120</v>
      </c>
      <c r="G13" s="3" t="n">
        <v>267</v>
      </c>
      <c r="H13" s="3" t="n"/>
      <c r="I13" s="3">
        <f>IF(OR(F13="",G13=""),"",ROUND(G13/F13,2))</f>
        <v/>
      </c>
      <c r="K13" s="3">
        <f>IF(OR(J13="",I13=""),"",ROUND(I13/J13*1000,2))</f>
        <v/>
      </c>
      <c r="M13" t="inlineStr"/>
      <c r="N13" t="inlineStr">
        <is>
          <t>Innerbody Labs</t>
        </is>
      </c>
      <c r="O13" t="inlineStr">
        <is>
          <t>Nootropic brand</t>
        </is>
      </c>
      <c r="P13" t="inlineStr">
        <is>
          <t>Special offer; ingredients 'supported by human research'</t>
        </is>
      </c>
      <c r="Q13" t="inlineStr">
        <is>
          <t>Amber + white minimal</t>
        </is>
      </c>
      <c r="R13" t="inlineStr">
        <is>
          <t>Likely multi-bottle pack</t>
        </is>
      </c>
    </row>
    <row r="14">
      <c r="A14" t="n">
        <v>12</v>
      </c>
      <c r="B14" t="inlineStr">
        <is>
          <t>Magic Mind</t>
        </is>
      </c>
      <c r="C14" t="inlineStr">
        <is>
          <t>Mental performance shots (box)</t>
        </is>
      </c>
      <c r="D14" t="inlineStr">
        <is>
          <t>Shot</t>
        </is>
      </c>
      <c r="G14" s="3" t="n">
        <v>357</v>
      </c>
      <c r="H14" s="3" t="n"/>
      <c r="I14" s="3">
        <f>IF(OR(F14="",G14=""),"",ROUND(G14/F14,2))</f>
        <v/>
      </c>
      <c r="K14" s="3">
        <f>IF(OR(J14="",I14=""),"",ROUND(I14/J14*1000,2))</f>
        <v/>
      </c>
      <c r="L14" t="n">
        <v>4.5</v>
      </c>
      <c r="M14" t="inlineStr">
        <is>
          <t>1k+</t>
        </is>
      </c>
      <c r="N14" t="inlineStr">
        <is>
          <t>Magic Mind</t>
        </is>
      </c>
      <c r="O14" t="inlineStr">
        <is>
          <t>Nootropic brand</t>
        </is>
      </c>
      <c r="P14" t="inlineStr">
        <is>
          <t>Bulk box</t>
        </is>
      </c>
      <c r="Q14" t="inlineStr">
        <is>
          <t>Pastel box, wave art</t>
        </is>
      </c>
      <c r="R14" t="inlineStr"/>
    </row>
    <row r="15">
      <c r="A15" t="n">
        <v>13</v>
      </c>
      <c r="B15" t="inlineStr">
        <is>
          <t>Magic Mind</t>
        </is>
      </c>
      <c r="C15" t="inlineStr">
        <is>
          <t>Mental performance shots (box)</t>
        </is>
      </c>
      <c r="D15" t="inlineStr">
        <is>
          <t>Shot</t>
        </is>
      </c>
      <c r="G15" s="3" t="n">
        <v>178.5</v>
      </c>
      <c r="H15" s="3" t="n"/>
      <c r="I15" s="3">
        <f>IF(OR(F15="",G15=""),"",ROUND(G15/F15,2))</f>
        <v/>
      </c>
      <c r="K15" s="3">
        <f>IF(OR(J15="",I15=""),"",ROUND(I15/J15*1000,2))</f>
        <v/>
      </c>
      <c r="M15" t="inlineStr"/>
      <c r="N15" t="inlineStr">
        <is>
          <t>Magic Mind</t>
        </is>
      </c>
      <c r="O15" t="inlineStr">
        <is>
          <t>Nootropic brand</t>
        </is>
      </c>
      <c r="P15" t="inlineStr">
        <is>
          <t>Trending</t>
        </is>
      </c>
      <c r="Q15" t="inlineStr">
        <is>
          <t>Pastel box, wave art</t>
        </is>
      </c>
      <c r="R15" t="inlineStr"/>
    </row>
    <row r="16">
      <c r="A16" t="n">
        <v>14</v>
      </c>
      <c r="B16" t="inlineStr">
        <is>
          <t>Magic Mind</t>
        </is>
      </c>
      <c r="C16" t="inlineStr">
        <is>
          <t>MAXX high-caffeine shot</t>
        </is>
      </c>
      <c r="D16" t="inlineStr">
        <is>
          <t>Shot</t>
        </is>
      </c>
      <c r="G16" s="3" t="n">
        <v>44.63</v>
      </c>
      <c r="H16" s="3" t="n"/>
      <c r="I16" s="3">
        <f>IF(OR(F16="",G16=""),"",ROUND(G16/F16,2))</f>
        <v/>
      </c>
      <c r="K16" s="3">
        <f>IF(OR(J16="",I16=""),"",ROUND(I16/J16*1000,2))</f>
        <v/>
      </c>
      <c r="L16" t="n">
        <v>4.1</v>
      </c>
      <c r="M16" t="inlineStr">
        <is>
          <t>152</t>
        </is>
      </c>
      <c r="N16" t="inlineStr">
        <is>
          <t>Magic Mind</t>
        </is>
      </c>
      <c r="O16" t="inlineStr">
        <is>
          <t>Nootropic brand</t>
        </is>
      </c>
      <c r="P16" t="inlineStr">
        <is>
          <t>10+ clinically backed ingredients</t>
        </is>
      </c>
      <c r="Q16" t="inlineStr">
        <is>
          <t>Green bottle</t>
        </is>
      </c>
      <c r="R16" t="inlineStr"/>
    </row>
    <row r="17">
      <c r="A17" t="n">
        <v>15</v>
      </c>
      <c r="B17" t="inlineStr">
        <is>
          <t>Magic Mind</t>
        </is>
      </c>
      <c r="C17" t="inlineStr">
        <is>
          <t>Original nootropic energy shot</t>
        </is>
      </c>
      <c r="D17" t="inlineStr">
        <is>
          <t>Shot</t>
        </is>
      </c>
      <c r="G17" s="3" t="n">
        <v>44.63</v>
      </c>
      <c r="H17" s="3" t="n"/>
      <c r="I17" s="3">
        <f>IF(OR(F17="",G17=""),"",ROUND(G17/F17,2))</f>
        <v/>
      </c>
      <c r="K17" s="3">
        <f>IF(OR(J17="",I17=""),"",ROUND(I17/J17*1000,2))</f>
        <v/>
      </c>
      <c r="M17" t="inlineStr"/>
      <c r="N17" t="inlineStr">
        <is>
          <t>Magic Mind</t>
        </is>
      </c>
      <c r="O17" t="inlineStr">
        <is>
          <t>Nootropic brand</t>
        </is>
      </c>
      <c r="P17" t="inlineStr">
        <is>
          <t>Trending brand</t>
        </is>
      </c>
      <c r="Q17" t="inlineStr">
        <is>
          <t>Green bottle, orange label</t>
        </is>
      </c>
      <c r="R17" t="inlineStr"/>
    </row>
    <row r="18">
      <c r="A18" t="n">
        <v>16</v>
      </c>
      <c r="B18" t="inlineStr">
        <is>
          <t>Graymatter</t>
        </is>
      </c>
      <c r="C18" t="inlineStr">
        <is>
          <t>Bright Mind nootropic drink mix</t>
        </is>
      </c>
      <c r="D18" t="inlineStr">
        <is>
          <t>Powder (pouch)</t>
        </is>
      </c>
      <c r="E18" t="n">
        <v>48</v>
      </c>
      <c r="F18" t="n">
        <v>48</v>
      </c>
      <c r="G18" s="3" t="n">
        <v>39.34</v>
      </c>
      <c r="H18" s="3" t="n">
        <v>47</v>
      </c>
      <c r="I18" s="3">
        <f>IF(OR(F18="",G18=""),"",ROUND(G18/F18,2))</f>
        <v/>
      </c>
      <c r="K18" s="3">
        <f>IF(OR(J18="",I18=""),"",ROUND(I18/J18*1000,2))</f>
        <v/>
      </c>
      <c r="M18" t="inlineStr"/>
      <c r="N18" t="inlineStr">
        <is>
          <t>Graymatter</t>
        </is>
      </c>
      <c r="O18" t="inlineStr">
        <is>
          <t>Nootropic brand</t>
        </is>
      </c>
      <c r="P18" t="inlineStr">
        <is>
          <t>SALE, superfood cognitive support</t>
        </is>
      </c>
      <c r="Q18" t="inlineStr">
        <is>
          <t>White pouch, red accent</t>
        </is>
      </c>
      <c r="R18" t="inlineStr"/>
    </row>
    <row r="19">
      <c r="A19" t="n">
        <v>17</v>
      </c>
      <c r="B19" t="inlineStr">
        <is>
          <t>Erth Labs</t>
        </is>
      </c>
      <c r="C19" t="inlineStr">
        <is>
          <t>Adaptogenic superfood brew</t>
        </is>
      </c>
      <c r="D19" t="inlineStr">
        <is>
          <t>Powder</t>
        </is>
      </c>
      <c r="G19" s="3" t="n">
        <v>27</v>
      </c>
      <c r="H19" s="3" t="n"/>
      <c r="I19" s="3">
        <f>IF(OR(F19="",G19=""),"",ROUND(G19/F19,2))</f>
        <v/>
      </c>
      <c r="K19" s="3">
        <f>IF(OR(J19="",I19=""),"",ROUND(I19/J19*1000,2))</f>
        <v/>
      </c>
      <c r="M19" t="inlineStr"/>
      <c r="N19" t="inlineStr">
        <is>
          <t>Erth Labs</t>
        </is>
      </c>
      <c r="O19" t="inlineStr">
        <is>
          <t>Blend / other</t>
        </is>
      </c>
      <c r="P19" t="inlineStr">
        <is>
          <t>Coffee alternative</t>
        </is>
      </c>
      <c r="Q19" t="inlineStr">
        <is>
          <t>Kraft pouches, lifestyle</t>
        </is>
      </c>
      <c r="R19" t="inlineStr"/>
    </row>
    <row r="20">
      <c r="A20" t="n">
        <v>18</v>
      </c>
      <c r="B20" t="inlineStr">
        <is>
          <t>Manna Vitality</t>
        </is>
      </c>
      <c r="C20" t="inlineStr">
        <is>
          <t>Beta Glucan</t>
        </is>
      </c>
      <c r="D20" t="inlineStr">
        <is>
          <t>Capsule</t>
        </is>
      </c>
      <c r="E20" t="n">
        <v>60</v>
      </c>
      <c r="G20" s="3" t="n">
        <v>99</v>
      </c>
      <c r="H20" s="3" t="n"/>
      <c r="I20" s="3">
        <f>IF(OR(F20="",G20=""),"",ROUND(G20/F20,2))</f>
        <v/>
      </c>
      <c r="K20" s="3">
        <f>IF(OR(J20="",I20=""),"",ROUND(I20/J20*1000,2))</f>
        <v/>
      </c>
      <c r="L20" t="n">
        <v>4.4</v>
      </c>
      <c r="M20" t="inlineStr">
        <is>
          <t>10</t>
        </is>
      </c>
      <c r="N20" t="inlineStr">
        <is>
          <t>Manna</t>
        </is>
      </c>
      <c r="O20" t="inlineStr">
        <is>
          <t>High</t>
        </is>
      </c>
      <c r="P20" t="inlineStr">
        <is>
          <t>Immune, cellular protection</t>
        </is>
      </c>
      <c r="Q20" t="inlineStr">
        <is>
          <t>Black + gold</t>
        </is>
      </c>
      <c r="R20" t="inlineStr">
        <is>
          <t>Off-topic</t>
        </is>
      </c>
    </row>
    <row r="21">
      <c r="A21" t="n">
        <v>19</v>
      </c>
      <c r="B21" t="inlineStr">
        <is>
          <t>Broc Shot</t>
        </is>
      </c>
      <c r="C21" t="inlineStr">
        <is>
          <t>Sulforaphane capsules</t>
        </is>
      </c>
      <c r="D21" t="inlineStr">
        <is>
          <t>Capsule</t>
        </is>
      </c>
      <c r="G21" s="3" t="n">
        <v>119.99</v>
      </c>
      <c r="H21" s="3" t="n"/>
      <c r="I21" s="3">
        <f>IF(OR(F21="",G21=""),"",ROUND(G21/F21,2))</f>
        <v/>
      </c>
      <c r="K21" s="3">
        <f>IF(OR(J21="",I21=""),"",ROUND(I21/J21*1000,2))</f>
        <v/>
      </c>
      <c r="L21" t="n">
        <v>4.6</v>
      </c>
      <c r="M21" t="inlineStr">
        <is>
          <t>153</t>
        </is>
      </c>
      <c r="N21" t="inlineStr">
        <is>
          <t>Broc Shot</t>
        </is>
      </c>
      <c r="O21" t="inlineStr">
        <is>
          <t>High</t>
        </is>
      </c>
      <c r="P21" t="inlineStr">
        <is>
          <t>Sulforaphane</t>
        </is>
      </c>
      <c r="Q21" t="inlineStr">
        <is>
          <t>Green tin</t>
        </is>
      </c>
      <c r="R21" t="inlineStr">
        <is>
          <t>Off-topic</t>
        </is>
      </c>
    </row>
    <row r="22">
      <c r="A22" t="n">
        <v>20</v>
      </c>
      <c r="B22" t="inlineStr">
        <is>
          <t>Noovit (Supliful)</t>
        </is>
      </c>
      <c r="C22" t="inlineStr">
        <is>
          <t>Lion's Mane mushroom capsules</t>
        </is>
      </c>
      <c r="D22" t="inlineStr">
        <is>
          <t>Capsule</t>
        </is>
      </c>
      <c r="E22" t="n">
        <v>60</v>
      </c>
      <c r="F22" t="n">
        <v>30</v>
      </c>
      <c r="G22" s="3" t="n">
        <v>40</v>
      </c>
      <c r="H22" s="3" t="n"/>
      <c r="I22" s="3">
        <f>IF(OR(F22="",G22=""),"",ROUND(G22/F22,2))</f>
        <v/>
      </c>
      <c r="J22" t="n">
        <v>1000</v>
      </c>
      <c r="K22" s="3">
        <f>IF(OR(J22="",I22=""),"",ROUND(I22/J22*1000,2))</f>
        <v/>
      </c>
      <c r="M22" t="inlineStr"/>
      <c r="N22" t="inlineStr">
        <is>
          <t>noovit.com</t>
        </is>
      </c>
      <c r="O22" t="inlineStr">
        <is>
          <t>Core</t>
        </is>
      </c>
      <c r="P22" t="inlineStr">
        <is>
          <t>Organic, evidence-graded (planned)</t>
        </is>
      </c>
      <c r="Q22" t="inlineStr">
        <is>
          <t>Label option B</t>
        </is>
      </c>
      <c r="R22" t="inlineStr">
        <is>
          <t>1,000 mg fruiting body + mycelium powder, 40% polysaccharides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60" customWidth="1" min="7" max="7"/>
    <col width="60" customWidth="1" min="8" max="8"/>
  </cols>
  <sheetData>
    <row r="1">
      <c r="A1" s="2" t="inlineStr">
        <is>
          <t>Tier</t>
        </is>
      </c>
      <c r="B1" s="2" t="inlineStr">
        <is>
          <t>Listings</t>
        </is>
      </c>
      <c r="C1" s="2" t="inlineStr">
        <is>
          <t>Min price $</t>
        </is>
      </c>
      <c r="D1" s="2" t="inlineStr">
        <is>
          <t>Median price $</t>
        </is>
      </c>
      <c r="E1" s="2" t="inlineStr">
        <is>
          <t>Max price $</t>
        </is>
      </c>
      <c r="F1" s="2" t="inlineStr">
        <is>
          <t>Avg price/day $</t>
        </is>
      </c>
      <c r="G1" s="2" t="inlineStr">
        <is>
          <t>Who</t>
        </is>
      </c>
      <c r="H1" s="2" t="inlineStr">
        <is>
          <t>Implication for Noovit</t>
        </is>
      </c>
    </row>
    <row r="2">
      <c r="A2" t="inlineStr">
        <is>
          <t>Core</t>
        </is>
      </c>
      <c r="B2">
        <f>COUNTIF('Lion''s Mane competitors'!O$3:O$22,A2)</f>
        <v/>
      </c>
      <c r="C2" s="3">
        <f>_xlfn.MINIFS('Lion''s Mane competitors'!G$3:G$22,'Lion''s Mane competitors'!O$3:O$22,A2)</f>
        <v/>
      </c>
      <c r="D2" s="3">
        <f t="array" ref="D2">MEDIAN(IF(('Lion''s Mane competitors'!O$3:O$22=A2)*('Lion''s Mane competitors'!G$3:G$22&lt;&gt;""),'Lion''s Mane competitors'!G$3:G$22))</f>
        <v/>
      </c>
      <c r="E2" s="3">
        <f>_xlfn.MAXIFS('Lion''s Mane competitors'!G$3:G$22,'Lion''s Mane competitors'!O$3:O$22,A2)</f>
        <v/>
      </c>
      <c r="F2" s="3">
        <f>IFERROR(ROUND(AVERAGEIFS('Lion''s Mane competitors'!I$3:I$22,'Lion''s Mane competitors'!O$3:O$22,A2),2),"")</f>
        <v/>
      </c>
      <c r="G2" t="inlineStr">
        <is>
          <t>Cortex, Brainstorm, Eversio, Future Kind, 3rd Planet, SuperFeast</t>
        </is>
      </c>
      <c r="H2" t="inlineStr">
        <is>
          <t>OUR TIER: plain lion's mane at $35–61, median ~$47</t>
        </is>
      </c>
    </row>
    <row r="3">
      <c r="A3" t="inlineStr">
        <is>
          <t>Nootropic brand</t>
        </is>
      </c>
      <c r="B3">
        <f>COUNTIF('Lion''s Mane competitors'!O$3:O$22,A3)</f>
        <v/>
      </c>
      <c r="C3" s="3">
        <f>_xlfn.MINIFS('Lion''s Mane competitors'!G$3:G$22,'Lion''s Mane competitors'!O$3:O$22,A3)</f>
        <v/>
      </c>
      <c r="D3" s="3">
        <f t="array" ref="D3">MEDIAN(IF(('Lion''s Mane competitors'!O$3:O$22=A3)*('Lion''s Mane competitors'!G$3:G$22&lt;&gt;""),'Lion''s Mane competitors'!G$3:G$22))</f>
        <v/>
      </c>
      <c r="E3" s="3">
        <f>_xlfn.MAXIFS('Lion''s Mane competitors'!G$3:G$22,'Lion''s Mane competitors'!O$3:O$22,A3)</f>
        <v/>
      </c>
      <c r="F3" s="3">
        <f>IFERROR(ROUND(AVERAGEIFS('Lion''s Mane competitors'!I$3:I$22,'Lion''s Mane competitors'!O$3:O$22,A3),2),"")</f>
        <v/>
      </c>
      <c r="G3" t="inlineStr">
        <is>
          <t>Magic Mind, Graymatter, Innerbody Labs, First Person</t>
        </is>
      </c>
      <c r="H3" t="inlineStr">
        <is>
          <t>Brand/aesthetic reference; they sell blends and shots, not single mushrooms</t>
        </is>
      </c>
    </row>
    <row r="4">
      <c r="A4" t="inlineStr">
        <is>
          <t>Blend / other</t>
        </is>
      </c>
      <c r="B4">
        <f>COUNTIF('Lion''s Mane competitors'!O$3:O$22,A4)</f>
        <v/>
      </c>
      <c r="C4" s="3">
        <f>_xlfn.MINIFS('Lion''s Mane competitors'!G$3:G$22,'Lion''s Mane competitors'!O$3:O$22,A4)</f>
        <v/>
      </c>
      <c r="D4" s="3">
        <f t="array" ref="D4">MEDIAN(IF(('Lion''s Mane competitors'!O$3:O$22=A4)*('Lion''s Mane competitors'!G$3:G$22&lt;&gt;""),'Lion''s Mane competitors'!G$3:G$22))</f>
        <v/>
      </c>
      <c r="E4" s="3">
        <f>_xlfn.MAXIFS('Lion''s Mane competitors'!G$3:G$22,'Lion''s Mane competitors'!O$3:O$22,A4)</f>
        <v/>
      </c>
      <c r="F4" s="3">
        <f>IFERROR(ROUND(AVERAGEIFS('Lion''s Mane competitors'!I$3:I$22,'Lion''s Mane competitors'!O$3:O$22,A4),2),"")</f>
        <v/>
      </c>
      <c r="G4" t="inlineStr">
        <is>
          <t>Sunmed, Auri gummies, Erth brew</t>
        </is>
      </c>
      <c r="H4" t="inlineStr">
        <is>
          <t>Gummies and brews: a later format option</t>
        </is>
      </c>
    </row>
    <row r="5">
      <c r="A5" t="inlineStr">
        <is>
          <t>High</t>
        </is>
      </c>
      <c r="B5">
        <f>COUNTIF('Lion''s Mane competitors'!O$3:O$22,A5)</f>
        <v/>
      </c>
      <c r="C5" s="3">
        <f>_xlfn.MINIFS('Lion''s Mane competitors'!G$3:G$22,'Lion''s Mane competitors'!O$3:O$22,A5)</f>
        <v/>
      </c>
      <c r="D5" s="3">
        <f t="array" ref="D5">MEDIAN(IF(('Lion''s Mane competitors'!O$3:O$22=A5)*('Lion''s Mane competitors'!G$3:G$22&lt;&gt;""),'Lion''s Mane competitors'!G$3:G$22))</f>
        <v/>
      </c>
      <c r="E5" s="3">
        <f>_xlfn.MAXIFS('Lion''s Mane competitors'!G$3:G$22,'Lion''s Mane competitors'!O$3:O$22,A5)</f>
        <v/>
      </c>
      <c r="F5" s="3">
        <f>IFERROR(ROUND(AVERAGEIFS('Lion''s Mane competitors'!I$3:I$22,'Lion''s Mane competitors'!O$3:O$22,A5),2),"")</f>
        <v/>
      </c>
      <c r="G5" t="inlineStr">
        <is>
          <t>Feral Fungi tincture, off-topic (beta glucan, sulforaphane)</t>
        </is>
      </c>
      <c r="H5" t="inlineStr">
        <is>
          <t>Ignore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2" customWidth="1" min="9" max="9"/>
    <col width="11" customWidth="1" min="10" max="10"/>
    <col width="10" customWidth="1" min="11" max="11"/>
    <col width="16" customWidth="1" min="12" max="12"/>
    <col width="12" customWidth="1" min="13" max="13"/>
  </cols>
  <sheetData>
    <row r="1">
      <c r="A1" s="4" t="inlineStr">
        <is>
          <t>Lion's Mane 60 caps via Supliful. Orange cells are inputs: change them and everything recalculates.</t>
        </is>
      </c>
    </row>
    <row r="3">
      <c r="A3" t="inlineStr">
        <is>
          <t>Landed cost per bottle, free plan $ (PLACEHOLDER: send Supliful's lion's mane price)</t>
        </is>
      </c>
      <c r="B3" s="5" t="n">
        <v>11</v>
      </c>
    </row>
    <row r="4">
      <c r="A4" t="inlineStr">
        <is>
          <t>Landed cost per bottle, Pro plan $ (PLACEHOLDER)</t>
        </is>
      </c>
      <c r="B4" s="5" t="n">
        <v>8</v>
      </c>
    </row>
    <row r="5">
      <c r="A5" t="inlineStr">
        <is>
          <t>Extra bottle in same order $ (product only, PLACEHOLDER)</t>
        </is>
      </c>
      <c r="B5" s="5" t="n">
        <v>4</v>
      </c>
    </row>
    <row r="6">
      <c r="A6" t="inlineStr">
        <is>
          <t>Stripe fee %</t>
        </is>
      </c>
      <c r="B6" s="6" t="n">
        <v>0.029</v>
      </c>
    </row>
    <row r="7">
      <c r="A7" t="inlineStr">
        <is>
          <t>Stripe fixed fee per order $</t>
        </is>
      </c>
      <c r="B7" s="5" t="n">
        <v>0.3</v>
      </c>
    </row>
    <row r="8">
      <c r="A8" t="inlineStr">
        <is>
          <t>Ad cost to win a new customer $ (estimate)</t>
        </is>
      </c>
      <c r="B8" s="5" t="n">
        <v>18</v>
      </c>
    </row>
    <row r="9">
      <c r="A9" t="inlineStr">
        <is>
          <t>Supliful Pro monthly fee $</t>
        </is>
      </c>
      <c r="B9" s="5" t="n">
        <v>69</v>
      </c>
    </row>
    <row r="10">
      <c r="A10" t="inlineStr">
        <is>
          <t>Noovit Lion's mane mg/day</t>
        </is>
      </c>
      <c r="B10" s="8" t="n">
        <v>1000</v>
      </c>
    </row>
    <row r="11">
      <c r="A11" s="4" t="inlineStr">
        <is>
          <t>Pro break-even (bottles per month)</t>
        </is>
      </c>
      <c r="B11">
        <f>ROUND(B9/(B3-B4),0)</f>
        <v/>
      </c>
    </row>
    <row r="13">
      <c r="A13" s="7" t="inlineStr">
        <is>
          <t>Offer</t>
        </is>
      </c>
      <c r="B13" s="7" t="inlineStr">
        <is>
          <t>Bottles in order</t>
        </is>
      </c>
      <c r="C13" s="7" t="inlineStr">
        <is>
          <t>Price per bottle $</t>
        </is>
      </c>
      <c r="D13" s="7" t="inlineStr">
        <is>
          <t>Order revenue $</t>
        </is>
      </c>
      <c r="E13" s="7" t="inlineStr">
        <is>
          <t>Landed cost, free $</t>
        </is>
      </c>
      <c r="F13" s="7" t="inlineStr">
        <is>
          <t>Stripe $</t>
        </is>
      </c>
      <c r="G13" s="7" t="inlineStr">
        <is>
          <t>Profit, free $</t>
        </is>
      </c>
      <c r="H13" s="7" t="inlineStr">
        <is>
          <t>Margin, free</t>
        </is>
      </c>
      <c r="I13" s="7" t="inlineStr">
        <is>
          <t>Landed cost, Pro $</t>
        </is>
      </c>
      <c r="J13" s="7" t="inlineStr">
        <is>
          <t>Profit, Pro $</t>
        </is>
      </c>
      <c r="K13" s="7" t="inlineStr">
        <is>
          <t>Margin, Pro</t>
        </is>
      </c>
      <c r="L13" s="7" t="inlineStr">
        <is>
          <t>Profit after ad cost (first order, free) $</t>
        </is>
      </c>
      <c r="M13" s="7" t="inlineStr">
        <is>
          <t>$ per 1,000 mg</t>
        </is>
      </c>
    </row>
    <row r="14">
      <c r="A14" t="inlineStr">
        <is>
          <t>One-time (catalog today)</t>
        </is>
      </c>
      <c r="B14" s="8" t="n">
        <v>1</v>
      </c>
      <c r="C14" s="5" t="n">
        <v>35</v>
      </c>
      <c r="D14" s="3">
        <f>B14*C14</f>
        <v/>
      </c>
      <c r="E14" s="3">
        <f>$B$3+(B14-1)*$B$5</f>
        <v/>
      </c>
      <c r="F14" s="3">
        <f>ROUND(D14*$B$6+$B$7,2)</f>
        <v/>
      </c>
      <c r="G14" s="3">
        <f>D14-E14-F14</f>
        <v/>
      </c>
      <c r="H14" s="9">
        <f>G14/D14</f>
        <v/>
      </c>
      <c r="I14" s="3">
        <f>$B$4+(B14-1)*$B$5</f>
        <v/>
      </c>
      <c r="J14" s="3">
        <f>D14-I14-F14</f>
        <v/>
      </c>
      <c r="K14" s="9">
        <f>J14/D14</f>
        <v/>
      </c>
      <c r="L14" s="3">
        <f>G14-$B$8</f>
        <v/>
      </c>
      <c r="M14" s="3">
        <f>ROUND(C14/30/$B$10*1000,2)</f>
        <v/>
      </c>
    </row>
    <row r="15">
      <c r="A15" t="inlineStr">
        <is>
          <t>One-time (suggested)</t>
        </is>
      </c>
      <c r="B15" s="8" t="n">
        <v>1</v>
      </c>
      <c r="C15" s="5" t="n">
        <v>40</v>
      </c>
      <c r="D15" s="3">
        <f>B15*C15</f>
        <v/>
      </c>
      <c r="E15" s="3">
        <f>$B$3+(B15-1)*$B$5</f>
        <v/>
      </c>
      <c r="F15" s="3">
        <f>ROUND(D15*$B$6+$B$7,2)</f>
        <v/>
      </c>
      <c r="G15" s="3">
        <f>D15-E15-F15</f>
        <v/>
      </c>
      <c r="H15" s="9">
        <f>G15/D15</f>
        <v/>
      </c>
      <c r="I15" s="3">
        <f>$B$4+(B15-1)*$B$5</f>
        <v/>
      </c>
      <c r="J15" s="3">
        <f>D15-I15-F15</f>
        <v/>
      </c>
      <c r="K15" s="9">
        <f>J15/D15</f>
        <v/>
      </c>
      <c r="L15" s="3">
        <f>G15-$B$8</f>
        <v/>
      </c>
      <c r="M15" s="3">
        <f>ROUND(C15/30/$B$10*1000,2)</f>
        <v/>
      </c>
    </row>
    <row r="16">
      <c r="A16" t="inlineStr">
        <is>
          <t>One-time (high)</t>
        </is>
      </c>
      <c r="B16" s="8" t="n">
        <v>1</v>
      </c>
      <c r="C16" s="5" t="n">
        <v>44</v>
      </c>
      <c r="D16" s="3">
        <f>B16*C16</f>
        <v/>
      </c>
      <c r="E16" s="3">
        <f>$B$3+(B16-1)*$B$5</f>
        <v/>
      </c>
      <c r="F16" s="3">
        <f>ROUND(D16*$B$6+$B$7,2)</f>
        <v/>
      </c>
      <c r="G16" s="3">
        <f>D16-E16-F16</f>
        <v/>
      </c>
      <c r="H16" s="9">
        <f>G16/D16</f>
        <v/>
      </c>
      <c r="I16" s="3">
        <f>$B$4+(B16-1)*$B$5</f>
        <v/>
      </c>
      <c r="J16" s="3">
        <f>D16-I16-F16</f>
        <v/>
      </c>
      <c r="K16" s="9">
        <f>J16/D16</f>
        <v/>
      </c>
      <c r="L16" s="3">
        <f>G16-$B$8</f>
        <v/>
      </c>
      <c r="M16" s="3">
        <f>ROUND(C16/30/$B$10*1000,2)</f>
        <v/>
      </c>
    </row>
    <row r="17">
      <c r="A17" t="inlineStr">
        <is>
          <t>Subscribe (suggested)</t>
        </is>
      </c>
      <c r="B17" s="8" t="n">
        <v>1</v>
      </c>
      <c r="C17" s="5" t="n">
        <v>35</v>
      </c>
      <c r="D17" s="3">
        <f>B17*C17</f>
        <v/>
      </c>
      <c r="E17" s="3">
        <f>$B$3+(B17-1)*$B$5</f>
        <v/>
      </c>
      <c r="F17" s="3">
        <f>ROUND(D17*$B$6+$B$7,2)</f>
        <v/>
      </c>
      <c r="G17" s="3">
        <f>D17-E17-F17</f>
        <v/>
      </c>
      <c r="H17" s="9">
        <f>G17/D17</f>
        <v/>
      </c>
      <c r="I17" s="3">
        <f>$B$4+(B17-1)*$B$5</f>
        <v/>
      </c>
      <c r="J17" s="3">
        <f>D17-I17-F17</f>
        <v/>
      </c>
      <c r="K17" s="9">
        <f>J17/D17</f>
        <v/>
      </c>
      <c r="L17" s="3">
        <f>G17-$B$8</f>
        <v/>
      </c>
      <c r="M17" s="3">
        <f>ROUND(C17/30/$B$10*1000,2)</f>
        <v/>
      </c>
    </row>
    <row r="18">
      <c r="A18" t="inlineStr">
        <is>
          <t>3-pack one-time</t>
        </is>
      </c>
      <c r="B18" s="8" t="n">
        <v>3</v>
      </c>
      <c r="C18" s="5" t="n">
        <v>36</v>
      </c>
      <c r="D18" s="3">
        <f>B18*C18</f>
        <v/>
      </c>
      <c r="E18" s="3">
        <f>$B$3+(B18-1)*$B$5</f>
        <v/>
      </c>
      <c r="F18" s="3">
        <f>ROUND(D18*$B$6+$B$7,2)</f>
        <v/>
      </c>
      <c r="G18" s="3">
        <f>D18-E18-F18</f>
        <v/>
      </c>
      <c r="H18" s="9">
        <f>G18/D18</f>
        <v/>
      </c>
      <c r="I18" s="3">
        <f>$B$4+(B18-1)*$B$5</f>
        <v/>
      </c>
      <c r="J18" s="3">
        <f>D18-I18-F18</f>
        <v/>
      </c>
      <c r="K18" s="9">
        <f>J18/D18</f>
        <v/>
      </c>
      <c r="L18" s="3">
        <f>G18-$B$8</f>
        <v/>
      </c>
      <c r="M18" s="3">
        <f>ROUND(C18/30/$B$10*1000,2)</f>
        <v/>
      </c>
    </row>
    <row r="19">
      <c r="A19" t="inlineStr">
        <is>
          <t>6-pack one-time</t>
        </is>
      </c>
      <c r="B19" s="8" t="n">
        <v>6</v>
      </c>
      <c r="C19" s="5" t="n">
        <v>33</v>
      </c>
      <c r="D19" s="3">
        <f>B19*C19</f>
        <v/>
      </c>
      <c r="E19" s="3">
        <f>$B$3+(B19-1)*$B$5</f>
        <v/>
      </c>
      <c r="F19" s="3">
        <f>ROUND(D19*$B$6+$B$7,2)</f>
        <v/>
      </c>
      <c r="G19" s="3">
        <f>D19-E19-F19</f>
        <v/>
      </c>
      <c r="H19" s="9">
        <f>G19/D19</f>
        <v/>
      </c>
      <c r="I19" s="3">
        <f>$B$4+(B19-1)*$B$5</f>
        <v/>
      </c>
      <c r="J19" s="3">
        <f>D19-I19-F19</f>
        <v/>
      </c>
      <c r="K19" s="9">
        <f>J19/D19</f>
        <v/>
      </c>
      <c r="L19" s="3">
        <f>G19-$B$8</f>
        <v/>
      </c>
      <c r="M19" s="3">
        <f>ROUND(C19/30/$B$10*1000,2)</f>
        <v/>
      </c>
    </row>
    <row r="22">
      <c r="A22" s="4" t="inlineStr">
        <is>
          <t>Per-mg comparison: price per bottle Noovit would need to match each competitor's $ per 1,000 mg (at B10 mg/day, 30 days per bottle)</t>
        </is>
      </c>
    </row>
    <row r="23">
      <c r="A23" s="11" t="inlineStr">
        <is>
          <t>Competitor</t>
        </is>
      </c>
      <c r="B23" s="11" t="inlineStr">
        <is>
          <t>Their mg/day</t>
        </is>
      </c>
      <c r="C23" s="11" t="inlineStr">
        <is>
          <t>Their price/day $</t>
        </is>
      </c>
      <c r="D23" s="11" t="inlineStr">
        <is>
          <t>Their $ per 1,000 mg</t>
        </is>
      </c>
      <c r="E23" s="11" t="inlineStr">
        <is>
          <t>Noovit price to match $</t>
        </is>
      </c>
    </row>
    <row r="24">
      <c r="A24">
        <f>'Lion''s Mane competitors'!B3&amp;" – "&amp;'Lion''s Mane competitors'!C3</f>
        <v/>
      </c>
      <c r="B24">
        <f>'Lion''s Mane competitors'!J3</f>
        <v/>
      </c>
      <c r="C24" s="3">
        <f>'Lion''s Mane competitors'!I3</f>
        <v/>
      </c>
      <c r="D24" s="3">
        <f>'Lion''s Mane competitors'!K3</f>
        <v/>
      </c>
      <c r="E24" s="3">
        <f>ROUND(D24/1000*$B$10*30,2)</f>
        <v/>
      </c>
    </row>
    <row r="25">
      <c r="A25">
        <f>'Lion''s Mane competitors'!B4&amp;" – "&amp;'Lion''s Mane competitors'!C4</f>
        <v/>
      </c>
      <c r="B25">
        <f>'Lion''s Mane competitors'!J4</f>
        <v/>
      </c>
      <c r="C25" s="3">
        <f>'Lion''s Mane competitors'!I4</f>
        <v/>
      </c>
      <c r="D25" s="3">
        <f>'Lion''s Mane competitors'!K4</f>
        <v/>
      </c>
      <c r="E25" s="3">
        <f>ROUND(D25/1000*$B$10*30,2)</f>
        <v/>
      </c>
    </row>
    <row r="26">
      <c r="A26">
        <f>'Lion''s Mane competitors'!B5&amp;" – "&amp;'Lion''s Mane competitors'!C5</f>
        <v/>
      </c>
      <c r="B26">
        <f>'Lion''s Mane competitors'!J5</f>
        <v/>
      </c>
      <c r="C26" s="3">
        <f>'Lion''s Mane competitors'!I5</f>
        <v/>
      </c>
      <c r="D26" s="3">
        <f>'Lion''s Mane competitors'!K5</f>
        <v/>
      </c>
      <c r="E26" s="3">
        <f>ROUND(D26/1000*$B$10*30,2)</f>
        <v/>
      </c>
    </row>
    <row r="27">
      <c r="A27">
        <f>'Lion''s Mane competitors'!B8&amp;" – "&amp;'Lion''s Mane competitors'!C8</f>
        <v/>
      </c>
      <c r="B27">
        <f>'Lion''s Mane competitors'!J8</f>
        <v/>
      </c>
      <c r="C27" s="3">
        <f>'Lion''s Mane competitors'!I8</f>
        <v/>
      </c>
      <c r="D27" s="3">
        <f>'Lion''s Mane competitors'!K8</f>
        <v/>
      </c>
      <c r="E27" s="3">
        <f>ROUND(D27/1000*$B$10*30,2)</f>
        <v/>
      </c>
    </row>
    <row r="28">
      <c r="A28">
        <f>'Lion''s Mane competitors'!B11&amp;" – "&amp;'Lion''s Mane competitors'!C11</f>
        <v/>
      </c>
      <c r="B28">
        <f>'Lion''s Mane competitors'!J11</f>
        <v/>
      </c>
      <c r="C28" s="3">
        <f>'Lion''s Mane competitors'!I11</f>
        <v/>
      </c>
      <c r="D28" s="3">
        <f>'Lion''s Mane competitors'!K11</f>
        <v/>
      </c>
      <c r="E28" s="3">
        <f>ROUND(D28/1000*$B$10*30,2)</f>
        <v/>
      </c>
    </row>
    <row r="30">
      <c r="A30" s="10" t="inlineStr">
        <is>
          <t>Notes</t>
        </is>
      </c>
    </row>
    <row r="31">
      <c r="A31" s="1" t="inlineStr">
        <is>
          <t>COST IS A PLACEHOLDER: Supliful's page hides the price from us. Send the price screenshot and update B3–B5.</t>
        </is>
      </c>
    </row>
    <row r="32">
      <c r="A32" s="1" t="inlineStr">
        <is>
          <t>Supliful formula: 1,000 mg organic fruiting body AND mycelium powder per 2 capsules, 'standardised to 40% polysaccharides (400 mg)'. No beta-glucan figure.</t>
        </is>
      </c>
    </row>
    <row r="33">
      <c r="A33" s="1" t="inlineStr">
        <is>
          <t>Polysaccharides include starch from the grain mycelium is grown on; beta-glucans are the meaningful measure. Ask Supliful for a beta-glucan COA.</t>
        </is>
      </c>
    </row>
    <row r="34">
      <c r="A34" s="1" t="inlineStr">
        <is>
          <t>Human studies used ~1 g (Saitsu 2019 used 3.2 g/day of fruiting body powder; Mori 2009 used 3 g/day). 1 g/day is at the low end.</t>
        </is>
      </c>
    </row>
    <row r="35">
      <c r="A35" s="1" t="inlineStr">
        <is>
          <t>Per-mg is comparable with Cortex and Brainstorm (both 1,000 mg) but not with extracts like Eversio 8:1, which are far more concentrated.</t>
        </is>
      </c>
    </row>
    <row r="36">
      <c r="A36" s="1" t="inlineStr">
        <is>
          <t>Competitor prices from Google Shopping on 28 Oct 2026; they change often.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7" customWidth="1" min="12" max="12"/>
    <col width="8" customWidth="1" min="13" max="13"/>
    <col width="16" customWidth="1" min="14" max="14"/>
    <col width="14" customWidth="1" min="15" max="15"/>
    <col width="40" customWidth="1" min="16" max="16"/>
    <col width="26" customWidth="1" min="17" max="17"/>
    <col width="34" customWidth="1" min="18" max="18"/>
  </cols>
  <sheetData>
    <row r="1">
      <c r="A1" s="1" t="inlineStr">
        <is>
          <t>Google Shopping, 'methylene blue drops', Denver CO, 28 Oct 2026 (sponsored carousel, 16 listings). Days assume ~10 mg/day (1 mL of a 1% solution) unless stated. ~ = assumed.</t>
        </is>
      </c>
    </row>
    <row r="2">
      <c r="A2" s="2" t="inlineStr">
        <is>
          <t>#</t>
        </is>
      </c>
      <c r="B2" s="2" t="inlineStr">
        <is>
          <t>Brand</t>
        </is>
      </c>
      <c r="C2" s="2" t="inlineStr">
        <is>
          <t>Product</t>
        </is>
      </c>
      <c r="D2" s="2" t="inlineStr">
        <is>
          <t>Format</t>
        </is>
      </c>
      <c r="E2" s="2" t="inlineStr">
        <is>
          <t>Count</t>
        </is>
      </c>
      <c r="F2" s="2" t="inlineStr">
        <is>
          <t>Servings (days)</t>
        </is>
      </c>
      <c r="G2" s="2" t="inlineStr">
        <is>
          <t>Price $</t>
        </is>
      </c>
      <c r="H2" s="2" t="inlineStr">
        <is>
          <t>Was $</t>
        </is>
      </c>
      <c r="I2" s="2" t="inlineStr">
        <is>
          <t>Price per day $</t>
        </is>
      </c>
      <c r="J2" s="2" t="inlineStr">
        <is>
          <t>Methylene blue mg/day</t>
        </is>
      </c>
      <c r="K2" s="2" t="inlineStr">
        <is>
          <t>$ per 1,000 mg</t>
        </is>
      </c>
      <c r="L2" s="2" t="inlineStr">
        <is>
          <t>Rating</t>
        </is>
      </c>
      <c r="M2" s="2" t="inlineStr">
        <is>
          <t>Reviews</t>
        </is>
      </c>
      <c r="N2" s="2" t="inlineStr">
        <is>
          <t>Seller</t>
        </is>
      </c>
      <c r="O2" s="2" t="inlineStr">
        <is>
          <t>Tier</t>
        </is>
      </c>
      <c r="P2" s="2" t="inlineStr">
        <is>
          <t>Lead angle / badges</t>
        </is>
      </c>
      <c r="Q2" s="2" t="inlineStr">
        <is>
          <t>Look</t>
        </is>
      </c>
      <c r="R2" s="2" t="inlineStr">
        <is>
          <t>Notes</t>
        </is>
      </c>
    </row>
    <row r="3">
      <c r="A3" t="n">
        <v>1</v>
      </c>
      <c r="B3" t="inlineStr">
        <is>
          <t>Compass Lab</t>
        </is>
      </c>
      <c r="C3" t="inlineStr">
        <is>
          <t>Methylene Blue 1% solution, USP grade</t>
        </is>
      </c>
      <c r="D3" t="inlineStr">
        <is>
          <t>Drops</t>
        </is>
      </c>
      <c r="G3" s="3" t="n">
        <v>30.9</v>
      </c>
      <c r="H3" s="3" t="n"/>
      <c r="I3" s="3">
        <f>IF(OR(F3="",G3=""),"",ROUND(G3/F3,2))</f>
        <v/>
      </c>
      <c r="K3" s="3">
        <f>IF(OR(J3="",I3=""),"",ROUND(I3/J3*1000,2))</f>
        <v/>
      </c>
      <c r="M3" t="inlineStr"/>
      <c r="N3" t="inlineStr">
        <is>
          <t>Compass Lab</t>
        </is>
      </c>
      <c r="O3" t="inlineStr">
        <is>
          <t>Drops</t>
        </is>
      </c>
      <c r="P3" t="inlineStr">
        <is>
          <t>USP grade</t>
        </is>
      </c>
      <c r="Q3" t="inlineStr">
        <is>
          <t>Amber dropper, navy + bright blue circle</t>
        </is>
      </c>
      <c r="R3" t="inlineStr">
        <is>
          <t>Bottle size not visible</t>
        </is>
      </c>
    </row>
    <row r="4">
      <c r="A4" t="n">
        <v>2</v>
      </c>
      <c r="B4" t="inlineStr">
        <is>
          <t>ThistleDew Vitality</t>
        </is>
      </c>
      <c r="C4" t="inlineStr">
        <is>
          <t>Premium Methylene Blue USP 10 mg/mL, 2 fl oz</t>
        </is>
      </c>
      <c r="D4" t="inlineStr">
        <is>
          <t>Drops</t>
        </is>
      </c>
      <c r="E4" t="n">
        <v>60</v>
      </c>
      <c r="F4" t="n">
        <v>60</v>
      </c>
      <c r="G4" s="3" t="n">
        <v>35.95</v>
      </c>
      <c r="H4" s="3" t="n"/>
      <c r="I4" s="3">
        <f>IF(OR(F4="",G4=""),"",ROUND(G4/F4,2))</f>
        <v/>
      </c>
      <c r="J4" t="n">
        <v>10</v>
      </c>
      <c r="K4" s="3">
        <f>IF(OR(J4="",I4=""),"",ROUND(I4/J4*1000,2))</f>
        <v/>
      </c>
      <c r="M4" t="inlineStr"/>
      <c r="N4" t="inlineStr">
        <is>
          <t>ThistleDew</t>
        </is>
      </c>
      <c r="O4" t="inlineStr">
        <is>
          <t>Drops</t>
        </is>
      </c>
      <c r="P4" t="inlineStr">
        <is>
          <t>USP grade, free shipping</t>
        </is>
      </c>
      <c r="Q4" t="inlineStr">
        <is>
          <t>Blue glass, cream label</t>
        </is>
      </c>
      <c r="R4" t="inlineStr">
        <is>
          <t>600 mg per bottle</t>
        </is>
      </c>
    </row>
    <row r="5">
      <c r="A5" t="n">
        <v>3</v>
      </c>
      <c r="B5" t="inlineStr">
        <is>
          <t>Vitasy</t>
        </is>
      </c>
      <c r="C5" t="inlineStr">
        <is>
          <t>Cortex Methylene Blue Drops 10 mg</t>
        </is>
      </c>
      <c r="D5" t="inlineStr">
        <is>
          <t>Drops</t>
        </is>
      </c>
      <c r="E5" t="n">
        <v>30</v>
      </c>
      <c r="F5" t="n">
        <v>30</v>
      </c>
      <c r="G5" s="3" t="n">
        <v>24.99</v>
      </c>
      <c r="H5" s="3" t="n"/>
      <c r="I5" s="3">
        <f>IF(OR(F5="",G5=""),"",ROUND(G5/F5,2))</f>
        <v/>
      </c>
      <c r="J5" t="n">
        <v>10</v>
      </c>
      <c r="K5" s="3">
        <f>IF(OR(J5="",I5=""),"",ROUND(I5/J5*1000,2))</f>
        <v/>
      </c>
      <c r="M5" t="inlineStr"/>
      <c r="N5" t="inlineStr">
        <is>
          <t>Vitasy</t>
        </is>
      </c>
      <c r="O5" t="inlineStr">
        <is>
          <t>Drops</t>
        </is>
      </c>
      <c r="P5" t="inlineStr">
        <is>
          <t>'Promotes cognitive wellness', free shipping</t>
        </is>
      </c>
      <c r="Q5" t="inlineStr">
        <is>
          <t>Blue glass, navy label</t>
        </is>
      </c>
      <c r="R5" t="inlineStr">
        <is>
          <t>~1 fl oz assumed</t>
        </is>
      </c>
    </row>
    <row r="6">
      <c r="A6" t="n">
        <v>4</v>
      </c>
      <c r="B6" t="inlineStr">
        <is>
          <t>AccuaBoost</t>
        </is>
      </c>
      <c r="C6" t="inlineStr">
        <is>
          <t>Methylene Blue 1% USP, 1 fl oz</t>
        </is>
      </c>
      <c r="D6" t="inlineStr">
        <is>
          <t>Drops</t>
        </is>
      </c>
      <c r="E6" t="n">
        <v>30</v>
      </c>
      <c r="F6" t="n">
        <v>30</v>
      </c>
      <c r="G6" s="3" t="n">
        <v>39.99</v>
      </c>
      <c r="H6" s="3" t="n"/>
      <c r="I6" s="3">
        <f>IF(OR(F6="",G6=""),"",ROUND(G6/F6,2))</f>
        <v/>
      </c>
      <c r="J6" t="n">
        <v>10</v>
      </c>
      <c r="K6" s="3">
        <f>IF(OR(J6="",I6=""),"",ROUND(I6/J6*1000,2))</f>
        <v/>
      </c>
      <c r="L6" t="n">
        <v>4.9</v>
      </c>
      <c r="M6" t="inlineStr">
        <is>
          <t>9k+</t>
        </is>
      </c>
      <c r="N6" t="inlineStr">
        <is>
          <t>AccuaBoost</t>
        </is>
      </c>
      <c r="O6" t="inlineStr">
        <is>
          <t>Drops</t>
        </is>
      </c>
      <c r="P6" t="inlineStr">
        <is>
          <t>'Best...' title, 9k+ reviews</t>
        </is>
      </c>
      <c r="Q6" t="inlineStr">
        <is>
          <t>Blue glass, black label, moody photo</t>
        </is>
      </c>
      <c r="R6" t="inlineStr">
        <is>
          <t>300 mg per bottle</t>
        </is>
      </c>
    </row>
    <row r="7">
      <c r="A7" t="n">
        <v>5</v>
      </c>
      <c r="B7" t="inlineStr">
        <is>
          <t>Compass Lab</t>
        </is>
      </c>
      <c r="C7" t="inlineStr">
        <is>
          <t>Methylene Blue 0.5% solution</t>
        </is>
      </c>
      <c r="D7" t="inlineStr">
        <is>
          <t>Drops</t>
        </is>
      </c>
      <c r="G7" s="3" t="n">
        <v>29.58</v>
      </c>
      <c r="H7" s="3" t="n"/>
      <c r="I7" s="3">
        <f>IF(OR(F7="",G7=""),"",ROUND(G7/F7,2))</f>
        <v/>
      </c>
      <c r="K7" s="3">
        <f>IF(OR(J7="",I7=""),"",ROUND(I7/J7*1000,2))</f>
        <v/>
      </c>
      <c r="M7" t="inlineStr"/>
      <c r="N7" t="inlineStr">
        <is>
          <t>Compass Lab</t>
        </is>
      </c>
      <c r="O7" t="inlineStr">
        <is>
          <t>Drops</t>
        </is>
      </c>
      <c r="P7" t="inlineStr">
        <is>
          <t>Half strength</t>
        </is>
      </c>
      <c r="Q7" t="inlineStr">
        <is>
          <t>Amber dropper, blue circle</t>
        </is>
      </c>
      <c r="R7" t="inlineStr">
        <is>
          <t>Bottle size not visible</t>
        </is>
      </c>
    </row>
    <row r="8">
      <c r="A8" t="n">
        <v>6</v>
      </c>
      <c r="B8" t="inlineStr">
        <is>
          <t>Heisen Blue</t>
        </is>
      </c>
      <c r="C8" t="inlineStr">
        <is>
          <t>HeisenBlue 2,400 mg per bottle</t>
        </is>
      </c>
      <c r="D8" t="inlineStr">
        <is>
          <t>Drops</t>
        </is>
      </c>
      <c r="F8" t="n">
        <v>240</v>
      </c>
      <c r="G8" s="3" t="n">
        <v>59.99</v>
      </c>
      <c r="H8" s="3" t="n"/>
      <c r="I8" s="3">
        <f>IF(OR(F8="",G8=""),"",ROUND(G8/F8,2))</f>
        <v/>
      </c>
      <c r="J8" t="n">
        <v>10</v>
      </c>
      <c r="K8" s="3">
        <f>IF(OR(J8="",I8=""),"",ROUND(I8/J8*1000,2))</f>
        <v/>
      </c>
      <c r="L8" t="n">
        <v>4.8</v>
      </c>
      <c r="M8" t="inlineStr">
        <is>
          <t>500+</t>
        </is>
      </c>
      <c r="N8" t="inlineStr">
        <is>
          <t>Heisen Blue</t>
        </is>
      </c>
      <c r="O8" t="inlineStr">
        <is>
          <t>Drops</t>
        </is>
      </c>
      <c r="P8" t="inlineStr">
        <is>
          <t>'94% felt results within 3 weeks', buy 1 get travel size free, 30-day guarantee</t>
        </is>
      </c>
      <c r="Q8" t="inlineStr">
        <is>
          <t>Busy infographic image</t>
        </is>
      </c>
      <c r="R8" t="inlineStr">
        <is>
          <t>~240 days at 10 mg; Canadian</t>
        </is>
      </c>
    </row>
    <row r="9">
      <c r="A9" t="n">
        <v>7</v>
      </c>
      <c r="B9" t="inlineStr">
        <is>
          <t>Heisen Blue</t>
        </is>
      </c>
      <c r="C9" t="inlineStr">
        <is>
          <t>1% Methylene Blue 1,200 mg per bottle</t>
        </is>
      </c>
      <c r="D9" t="inlineStr">
        <is>
          <t>Drops</t>
        </is>
      </c>
      <c r="F9" t="n">
        <v>120</v>
      </c>
      <c r="G9" s="3" t="n">
        <v>49.99</v>
      </c>
      <c r="H9" s="3" t="n"/>
      <c r="I9" s="3">
        <f>IF(OR(F9="",G9=""),"",ROUND(G9/F9,2))</f>
        <v/>
      </c>
      <c r="J9" t="n">
        <v>10</v>
      </c>
      <c r="K9" s="3">
        <f>IF(OR(J9="",I9=""),"",ROUND(I9/J9*1000,2))</f>
        <v/>
      </c>
      <c r="M9" t="inlineStr"/>
      <c r="N9" t="inlineStr">
        <is>
          <t>Heisen Blue</t>
        </is>
      </c>
      <c r="O9" t="inlineStr">
        <is>
          <t>Drops</t>
        </is>
      </c>
      <c r="P9" t="inlineStr">
        <is>
          <t>No subscription required</t>
        </is>
      </c>
      <c r="Q9" t="inlineStr">
        <is>
          <t>Busy infographic image</t>
        </is>
      </c>
      <c r="R9" t="inlineStr">
        <is>
          <t>~120 days at 10 mg</t>
        </is>
      </c>
    </row>
    <row r="10">
      <c r="A10" t="n">
        <v>8</v>
      </c>
      <c r="B10" t="inlineStr">
        <is>
          <t>Earth Harmony</t>
        </is>
      </c>
      <c r="C10" t="inlineStr">
        <is>
          <t>Ultimate Methylene Blue USP with nano liquid gold, 2 fl oz</t>
        </is>
      </c>
      <c r="D10" t="inlineStr">
        <is>
          <t>Drops</t>
        </is>
      </c>
      <c r="E10" t="n">
        <v>60</v>
      </c>
      <c r="G10" s="3" t="n">
        <v>39.95</v>
      </c>
      <c r="H10" s="3" t="n"/>
      <c r="I10" s="3">
        <f>IF(OR(F10="",G10=""),"",ROUND(G10/F10,2))</f>
        <v/>
      </c>
      <c r="K10" s="3">
        <f>IF(OR(J10="",I10=""),"",ROUND(I10/J10*1000,2))</f>
        <v/>
      </c>
      <c r="L10" t="n">
        <v>4.4</v>
      </c>
      <c r="M10" t="inlineStr">
        <is>
          <t>826</t>
        </is>
      </c>
      <c r="N10" t="inlineStr">
        <is>
          <t>Earth Harmony</t>
        </is>
      </c>
      <c r="O10" t="inlineStr">
        <is>
          <t>Drops</t>
        </is>
      </c>
      <c r="P10" t="inlineStr">
        <is>
          <t>Gold + MB combo</t>
        </is>
      </c>
      <c r="Q10" t="inlineStr">
        <is>
          <t>Black dropper, green botanical label</t>
        </is>
      </c>
      <c r="R10" t="inlineStr">
        <is>
          <t>Concentration not visible</t>
        </is>
      </c>
    </row>
    <row r="11">
      <c r="A11" t="n">
        <v>9</v>
      </c>
      <c r="B11" t="inlineStr">
        <is>
          <t>PeakForce Labs</t>
        </is>
      </c>
      <c r="C11" t="inlineStr">
        <is>
          <t>Methylene Blue 20 mg, 60 capsules</t>
        </is>
      </c>
      <c r="D11" t="inlineStr">
        <is>
          <t>Capsule</t>
        </is>
      </c>
      <c r="E11" t="n">
        <v>60</v>
      </c>
      <c r="F11" t="n">
        <v>60</v>
      </c>
      <c r="G11" s="3" t="n">
        <v>79</v>
      </c>
      <c r="H11" s="3" t="n"/>
      <c r="I11" s="3">
        <f>IF(OR(F11="",G11=""),"",ROUND(G11/F11,2))</f>
        <v/>
      </c>
      <c r="J11" t="n">
        <v>20</v>
      </c>
      <c r="K11" s="3">
        <f>IF(OR(J11="",I11=""),"",ROUND(I11/J11*1000,2))</f>
        <v/>
      </c>
      <c r="M11" t="inlineStr"/>
      <c r="N11" t="inlineStr">
        <is>
          <t>PAProducts</t>
        </is>
      </c>
      <c r="O11" t="inlineStr">
        <is>
          <t>Research-use</t>
        </is>
      </c>
      <c r="P11" t="inlineStr">
        <is>
          <t>'FOR RESEARCH USE ONLY' on label</t>
        </is>
      </c>
      <c r="Q11" t="inlineStr">
        <is>
          <t>Black bottle, bold white type</t>
        </is>
      </c>
      <c r="R11" t="inlineStr">
        <is>
          <t>Red flag: research-use labelling</t>
        </is>
      </c>
    </row>
    <row r="12">
      <c r="A12" t="n">
        <v>10</v>
      </c>
      <c r="B12" t="inlineStr">
        <is>
          <t>Mile High Compounds</t>
        </is>
      </c>
      <c r="C12" t="inlineStr">
        <is>
          <t>Methylene Blue 20 mg, 60 capsules</t>
        </is>
      </c>
      <c r="D12" t="inlineStr">
        <is>
          <t>Capsule</t>
        </is>
      </c>
      <c r="E12" t="n">
        <v>60</v>
      </c>
      <c r="F12" t="n">
        <v>60</v>
      </c>
      <c r="G12" s="3" t="n">
        <v>79.98999999999999</v>
      </c>
      <c r="H12" s="3" t="n"/>
      <c r="I12" s="3">
        <f>IF(OR(F12="",G12=""),"",ROUND(G12/F12,2))</f>
        <v/>
      </c>
      <c r="J12" t="n">
        <v>20</v>
      </c>
      <c r="K12" s="3">
        <f>IF(OR(J12="",I12=""),"",ROUND(I12/J12*1000,2))</f>
        <v/>
      </c>
      <c r="M12" t="inlineStr"/>
      <c r="N12" t="inlineStr">
        <is>
          <t>Mile High</t>
        </is>
      </c>
      <c r="O12" t="inlineStr">
        <is>
          <t>Research-use</t>
        </is>
      </c>
      <c r="P12" t="inlineStr">
        <is>
          <t>'For research use only', free gift</t>
        </is>
      </c>
      <c r="Q12" t="inlineStr">
        <is>
          <t>Clear bottle, blue sky photo</t>
        </is>
      </c>
      <c r="R12" t="inlineStr">
        <is>
          <t>Red flag: research-use labelling</t>
        </is>
      </c>
    </row>
    <row r="13">
      <c r="A13" t="n">
        <v>11</v>
      </c>
      <c r="B13" t="inlineStr">
        <is>
          <t>BioEdge Research</t>
        </is>
      </c>
      <c r="C13" t="inlineStr">
        <is>
          <t>Methylene Blue 10 mg, 60 count</t>
        </is>
      </c>
      <c r="D13" t="inlineStr">
        <is>
          <t>Capsule</t>
        </is>
      </c>
      <c r="E13" t="n">
        <v>60</v>
      </c>
      <c r="F13" t="n">
        <v>60</v>
      </c>
      <c r="G13" s="3" t="n">
        <v>79</v>
      </c>
      <c r="H13" s="3" t="n"/>
      <c r="I13" s="3">
        <f>IF(OR(F13="",G13=""),"",ROUND(G13/F13,2))</f>
        <v/>
      </c>
      <c r="J13" t="n">
        <v>10</v>
      </c>
      <c r="K13" s="3">
        <f>IF(OR(J13="",I13=""),"",ROUND(I13/J13*1000,2))</f>
        <v/>
      </c>
      <c r="M13" t="inlineStr"/>
      <c r="N13" t="inlineStr">
        <is>
          <t>BioEdge</t>
        </is>
      </c>
      <c r="O13" t="inlineStr">
        <is>
          <t>Research-use</t>
        </is>
      </c>
      <c r="P13" t="inlineStr">
        <is>
          <t>'FOR RESEARCH USE ONLY' (peptide seller)</t>
        </is>
      </c>
      <c r="Q13" t="inlineStr">
        <is>
          <t>White bottle, blue/green</t>
        </is>
      </c>
      <c r="R13" t="inlineStr">
        <is>
          <t>Red flag: research-use labelling</t>
        </is>
      </c>
    </row>
    <row r="14">
      <c r="A14" t="n">
        <v>12</v>
      </c>
      <c r="B14" t="inlineStr">
        <is>
          <t>algorx</t>
        </is>
      </c>
      <c r="C14" t="inlineStr">
        <is>
          <t>Methylene Blue 5 mg / 10 mg capsules</t>
        </is>
      </c>
      <c r="D14" t="inlineStr">
        <is>
          <t>Capsule</t>
        </is>
      </c>
      <c r="G14" s="3" t="n">
        <v>49</v>
      </c>
      <c r="H14" s="3" t="n"/>
      <c r="I14" s="3">
        <f>IF(OR(F14="",G14=""),"",ROUND(G14/F14,2))</f>
        <v/>
      </c>
      <c r="K14" s="3">
        <f>IF(OR(J14="",I14=""),"",ROUND(I14/J14*1000,2))</f>
        <v/>
      </c>
      <c r="M14" t="inlineStr"/>
      <c r="N14" t="inlineStr">
        <is>
          <t>algorx</t>
        </is>
      </c>
      <c r="O14" t="inlineStr">
        <is>
          <t>Rx-style</t>
        </is>
      </c>
      <c r="P14" t="inlineStr">
        <is>
          <t>Pharmacy-style bottle, special offer</t>
        </is>
      </c>
      <c r="Q14" t="inlineStr">
        <is>
          <t>Orange Rx vial</t>
        </is>
      </c>
      <c r="R14" t="inlineStr">
        <is>
          <t>Telehealth/compounding style</t>
        </is>
      </c>
    </row>
    <row r="15">
      <c r="A15" t="n">
        <v>13</v>
      </c>
      <c r="B15" t="inlineStr">
        <is>
          <t>Compass Lab</t>
        </is>
      </c>
      <c r="C15" t="inlineStr">
        <is>
          <t>Methylene Blue 1% refill, 237 mL</t>
        </is>
      </c>
      <c r="D15" t="inlineStr">
        <is>
          <t>Drops (refill)</t>
        </is>
      </c>
      <c r="E15" t="n">
        <v>237</v>
      </c>
      <c r="F15" t="n">
        <v>237</v>
      </c>
      <c r="G15" s="3" t="n">
        <v>147.33</v>
      </c>
      <c r="H15" s="3" t="n"/>
      <c r="I15" s="3">
        <f>IF(OR(F15="",G15=""),"",ROUND(G15/F15,2))</f>
        <v/>
      </c>
      <c r="J15" t="n">
        <v>10</v>
      </c>
      <c r="K15" s="3">
        <f>IF(OR(J15="",I15=""),"",ROUND(I15/J15*1000,2))</f>
        <v/>
      </c>
      <c r="M15" t="inlineStr"/>
      <c r="N15" t="inlineStr">
        <is>
          <t>Compass Lab</t>
        </is>
      </c>
      <c r="O15" t="inlineStr">
        <is>
          <t>Bulk</t>
        </is>
      </c>
      <c r="P15" t="inlineStr">
        <is>
          <t>Refill size</t>
        </is>
      </c>
      <c r="Q15" t="inlineStr">
        <is>
          <t>Large amber bottle</t>
        </is>
      </c>
      <c r="R15" t="inlineStr">
        <is>
          <t>2,370 mg</t>
        </is>
      </c>
    </row>
    <row r="16">
      <c r="A16" t="n">
        <v>14</v>
      </c>
      <c r="B16" t="inlineStr">
        <is>
          <t>Quantum Innovation Labs</t>
        </is>
      </c>
      <c r="C16" t="inlineStr">
        <is>
          <t>Methylene Blue kit (powder + bottles)</t>
        </is>
      </c>
      <c r="D16" t="inlineStr">
        <is>
          <t>Powder kit</t>
        </is>
      </c>
      <c r="G16" s="3" t="n">
        <v>64.98999999999999</v>
      </c>
      <c r="H16" s="3" t="n"/>
      <c r="I16" s="3">
        <f>IF(OR(F16="",G16=""),"",ROUND(G16/F16,2))</f>
        <v/>
      </c>
      <c r="K16" s="3">
        <f>IF(OR(J16="",I16=""),"",ROUND(I16/J16*1000,2))</f>
        <v/>
      </c>
      <c r="L16" t="n">
        <v>4.7</v>
      </c>
      <c r="M16" t="inlineStr">
        <is>
          <t>28</t>
        </is>
      </c>
      <c r="N16" t="inlineStr">
        <is>
          <t>Quantum</t>
        </is>
      </c>
      <c r="O16" t="inlineStr">
        <is>
          <t>Bulk</t>
        </is>
      </c>
      <c r="P16" t="inlineStr">
        <is>
          <t>DIY kit: mix your own</t>
        </is>
      </c>
      <c r="Q16" t="inlineStr">
        <is>
          <t>Purple box, beakers</t>
        </is>
      </c>
      <c r="R16" t="inlineStr">
        <is>
          <t>Not comparable per mg</t>
        </is>
      </c>
    </row>
    <row r="17">
      <c r="A17" t="n">
        <v>15</v>
      </c>
      <c r="B17" t="inlineStr">
        <is>
          <t>Quantum Innovation Labs</t>
        </is>
      </c>
      <c r="C17" t="inlineStr">
        <is>
          <t>Methylene Blue for Humans, USP powder 100 g</t>
        </is>
      </c>
      <c r="D17" t="inlineStr">
        <is>
          <t>Powder</t>
        </is>
      </c>
      <c r="G17" s="3" t="n">
        <v>164.99</v>
      </c>
      <c r="H17" s="3" t="n">
        <v>200</v>
      </c>
      <c r="I17" s="3">
        <f>IF(OR(F17="",G17=""),"",ROUND(G17/F17,2))</f>
        <v/>
      </c>
      <c r="K17" s="3">
        <f>IF(OR(J17="",I17=""),"",ROUND(I17/J17*1000,2))</f>
        <v/>
      </c>
      <c r="L17" t="n">
        <v>4.9</v>
      </c>
      <c r="M17" t="inlineStr">
        <is>
          <t>22</t>
        </is>
      </c>
      <c r="N17" t="inlineStr">
        <is>
          <t>Quantum</t>
        </is>
      </c>
      <c r="O17" t="inlineStr">
        <is>
          <t>Bulk</t>
        </is>
      </c>
      <c r="P17" t="inlineStr">
        <is>
          <t>SALE, 'for humans'</t>
        </is>
      </c>
      <c r="Q17" t="inlineStr">
        <is>
          <t>Purple jar</t>
        </is>
      </c>
      <c r="R17" t="inlineStr">
        <is>
          <t>100,000 mg: bulk chemical</t>
        </is>
      </c>
    </row>
    <row r="18">
      <c r="A18" t="n">
        <v>16</v>
      </c>
      <c r="B18" t="inlineStr">
        <is>
          <t>Noovit (Supliful)</t>
        </is>
      </c>
      <c r="C18" t="inlineStr">
        <is>
          <t>Methylene Blue Drops 10 mg/mL, 60 mL</t>
        </is>
      </c>
      <c r="D18" t="inlineStr">
        <is>
          <t>Drops</t>
        </is>
      </c>
      <c r="E18" t="n">
        <v>60</v>
      </c>
      <c r="F18" t="n">
        <v>60</v>
      </c>
      <c r="G18" s="3" t="n">
        <v>36</v>
      </c>
      <c r="H18" s="3" t="n"/>
      <c r="I18" s="3">
        <f>IF(OR(F18="",G18=""),"",ROUND(G18/F18,2))</f>
        <v/>
      </c>
      <c r="J18" t="n">
        <v>10</v>
      </c>
      <c r="K18" s="3">
        <f>IF(OR(J18="",I18=""),"",ROUND(I18/J18*1000,2))</f>
        <v/>
      </c>
      <c r="M18" t="inlineStr"/>
      <c r="N18" t="inlineStr">
        <is>
          <t>noovit.com</t>
        </is>
      </c>
      <c r="O18" t="inlineStr">
        <is>
          <t>Drops</t>
        </is>
      </c>
      <c r="P18" t="inlineStr">
        <is>
          <t>—</t>
        </is>
      </c>
      <c r="Q18" t="inlineStr">
        <is>
          <t>Label option B</t>
        </is>
      </c>
      <c r="R18" t="inlineStr">
        <is>
          <t>600 mg per bottle; 1 mL (20 drops) a 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60" customWidth="1" min="7" max="7"/>
    <col width="60" customWidth="1" min="8" max="8"/>
  </cols>
  <sheetData>
    <row r="1">
      <c r="A1" s="2" t="inlineStr">
        <is>
          <t>Tier</t>
        </is>
      </c>
      <c r="B1" s="2" t="inlineStr">
        <is>
          <t>Listings</t>
        </is>
      </c>
      <c r="C1" s="2" t="inlineStr">
        <is>
          <t>Min price $</t>
        </is>
      </c>
      <c r="D1" s="2" t="inlineStr">
        <is>
          <t>Median price $</t>
        </is>
      </c>
      <c r="E1" s="2" t="inlineStr">
        <is>
          <t>Max price $</t>
        </is>
      </c>
      <c r="F1" s="2" t="inlineStr">
        <is>
          <t>Avg price/day $</t>
        </is>
      </c>
      <c r="G1" s="2" t="inlineStr">
        <is>
          <t>Who</t>
        </is>
      </c>
      <c r="H1" s="2" t="inlineStr">
        <is>
          <t>Implication for Noovit</t>
        </is>
      </c>
    </row>
    <row r="2">
      <c r="A2" t="inlineStr">
        <is>
          <t>Drops</t>
        </is>
      </c>
      <c r="B2">
        <f>COUNTIF('Methylene Blue competitors'!O$3:O$18,A2)</f>
        <v/>
      </c>
      <c r="C2" s="3">
        <f>_xlfn.MINIFS('Methylene Blue competitors'!G$3:G$18,'Methylene Blue competitors'!O$3:O$18,A2)</f>
        <v/>
      </c>
      <c r="D2" s="3">
        <f t="array" ref="D2">MEDIAN(IF(('Methylene Blue competitors'!O$3:O$18=A2)*('Methylene Blue competitors'!G$3:G$18&lt;&gt;""),'Methylene Blue competitors'!G$3:G$18))</f>
        <v/>
      </c>
      <c r="E2" s="3">
        <f>_xlfn.MAXIFS('Methylene Blue competitors'!G$3:G$18,'Methylene Blue competitors'!O$3:O$18,A2)</f>
        <v/>
      </c>
      <c r="F2" s="3">
        <f>IFERROR(ROUND(AVERAGEIFS('Methylene Blue competitors'!I$3:I$18,'Methylene Blue competitors'!O$3:O$18,A2),2),"")</f>
        <v/>
      </c>
      <c r="G2" t="inlineStr">
        <is>
          <t>Compass Lab, ThistleDew, Cortex, AccuaBoost, Heisen Blue, Earth Harmony</t>
        </is>
      </c>
      <c r="H2" t="inlineStr">
        <is>
          <t>Where a Supliful product would sit: $25–60, median ~$37</t>
        </is>
      </c>
    </row>
    <row r="3">
      <c r="A3" t="inlineStr">
        <is>
          <t>Research-use</t>
        </is>
      </c>
      <c r="B3">
        <f>COUNTIF('Methylene Blue competitors'!O$3:O$18,A3)</f>
        <v/>
      </c>
      <c r="C3" s="3">
        <f>_xlfn.MINIFS('Methylene Blue competitors'!G$3:G$18,'Methylene Blue competitors'!O$3:O$18,A3)</f>
        <v/>
      </c>
      <c r="D3" s="3">
        <f t="array" ref="D3">MEDIAN(IF(('Methylene Blue competitors'!O$3:O$18=A3)*('Methylene Blue competitors'!G$3:G$18&lt;&gt;""),'Methylene Blue competitors'!G$3:G$18))</f>
        <v/>
      </c>
      <c r="E3" s="3">
        <f>_xlfn.MAXIFS('Methylene Blue competitors'!G$3:G$18,'Methylene Blue competitors'!O$3:O$18,A3)</f>
        <v/>
      </c>
      <c r="F3" s="3">
        <f>IFERROR(ROUND(AVERAGEIFS('Methylene Blue competitors'!I$3:I$18,'Methylene Blue competitors'!O$3:O$18,A3),2),"")</f>
        <v/>
      </c>
      <c r="G3" t="inlineStr">
        <is>
          <t>PeakForce, Mile High, BioEdge ('for research use only')</t>
        </is>
      </c>
      <c r="H3" t="inlineStr">
        <is>
          <t>Grey market: a sign sellers know it's not a clean supplement</t>
        </is>
      </c>
    </row>
    <row r="4">
      <c r="A4" t="inlineStr">
        <is>
          <t>Rx-style</t>
        </is>
      </c>
      <c r="B4">
        <f>COUNTIF('Methylene Blue competitors'!O$3:O$18,A4)</f>
        <v/>
      </c>
      <c r="C4" s="3">
        <f>_xlfn.MINIFS('Methylene Blue competitors'!G$3:G$18,'Methylene Blue competitors'!O$3:O$18,A4)</f>
        <v/>
      </c>
      <c r="D4" s="3">
        <f t="array" ref="D4">MEDIAN(IF(('Methylene Blue competitors'!O$3:O$18=A4)*('Methylene Blue competitors'!G$3:G$18&lt;&gt;""),'Methylene Blue competitors'!G$3:G$18))</f>
        <v/>
      </c>
      <c r="E4" s="3">
        <f>_xlfn.MAXIFS('Methylene Blue competitors'!G$3:G$18,'Methylene Blue competitors'!O$3:O$18,A4)</f>
        <v/>
      </c>
      <c r="F4" s="3">
        <f>IFERROR(ROUND(AVERAGEIFS('Methylene Blue competitors'!I$3:I$18,'Methylene Blue competitors'!O$3:O$18,A4),2),"")</f>
        <v/>
      </c>
      <c r="G4" t="inlineStr">
        <is>
          <t>algorx</t>
        </is>
      </c>
      <c r="H4" t="inlineStr">
        <is>
          <t>Pharmacy / telehealth positioning</t>
        </is>
      </c>
    </row>
    <row r="5">
      <c r="A5" t="inlineStr">
        <is>
          <t>Bulk</t>
        </is>
      </c>
      <c r="B5">
        <f>COUNTIF('Methylene Blue competitors'!O$3:O$18,A5)</f>
        <v/>
      </c>
      <c r="C5" s="3">
        <f>_xlfn.MINIFS('Methylene Blue competitors'!G$3:G$18,'Methylene Blue competitors'!O$3:O$18,A5)</f>
        <v/>
      </c>
      <c r="D5" s="3">
        <f t="array" ref="D5">MEDIAN(IF(('Methylene Blue competitors'!O$3:O$18=A5)*('Methylene Blue competitors'!G$3:G$18&lt;&gt;""),'Methylene Blue competitors'!G$3:G$18))</f>
        <v/>
      </c>
      <c r="E5" s="3">
        <f>_xlfn.MAXIFS('Methylene Blue competitors'!G$3:G$18,'Methylene Blue competitors'!O$3:O$18,A5)</f>
        <v/>
      </c>
      <c r="F5" s="3">
        <f>IFERROR(ROUND(AVERAGEIFS('Methylene Blue competitors'!I$3:I$18,'Methylene Blue competitors'!O$3:O$18,A5),2),"")</f>
        <v/>
      </c>
      <c r="G5" t="inlineStr">
        <is>
          <t>Compass refill, Quantum powder and kits</t>
        </is>
      </c>
      <c r="H5" t="inlineStr">
        <is>
          <t>Not our lane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2" customWidth="1" min="9" max="9"/>
    <col width="11" customWidth="1" min="10" max="10"/>
    <col width="10" customWidth="1" min="11" max="11"/>
    <col width="16" customWidth="1" min="12" max="12"/>
    <col width="12" customWidth="1" min="13" max="13"/>
  </cols>
  <sheetData>
    <row r="1">
      <c r="A1" s="4" t="inlineStr">
        <is>
          <t>Methylene Blue 60 mL drops via Supliful. Orange cells are inputs: change them and everything recalculates.</t>
        </is>
      </c>
    </row>
    <row r="3">
      <c r="A3" t="inlineStr">
        <is>
          <t>Landed cost per bottle, free plan $ (PLACEHOLDER: send Supliful's price)</t>
        </is>
      </c>
      <c r="B3" s="5" t="n">
        <v>10.5</v>
      </c>
    </row>
    <row r="4">
      <c r="A4" t="inlineStr">
        <is>
          <t>Landed cost per bottle, Pro plan $ (PLACEHOLDER)</t>
        </is>
      </c>
      <c r="B4" s="5" t="n">
        <v>7.5</v>
      </c>
    </row>
    <row r="5">
      <c r="A5" t="inlineStr">
        <is>
          <t>Extra bottle in same order $ (product only, PLACEHOLDER)</t>
        </is>
      </c>
      <c r="B5" s="5" t="n">
        <v>4</v>
      </c>
    </row>
    <row r="6">
      <c r="A6" t="inlineStr">
        <is>
          <t>Stripe fee %</t>
        </is>
      </c>
      <c r="B6" s="6" t="n">
        <v>0.029</v>
      </c>
    </row>
    <row r="7">
      <c r="A7" t="inlineStr">
        <is>
          <t>Stripe fixed fee per order $</t>
        </is>
      </c>
      <c r="B7" s="5" t="n">
        <v>0.3</v>
      </c>
    </row>
    <row r="8">
      <c r="A8" t="inlineStr">
        <is>
          <t>Ad cost to win a new customer $ (estimate)</t>
        </is>
      </c>
      <c r="B8" s="5" t="n">
        <v>18</v>
      </c>
    </row>
    <row r="9">
      <c r="A9" t="inlineStr">
        <is>
          <t>Supliful Pro monthly fee $</t>
        </is>
      </c>
      <c r="B9" s="5" t="n">
        <v>69</v>
      </c>
    </row>
    <row r="10">
      <c r="A10" t="inlineStr">
        <is>
          <t>Noovit Methylene blue mg/day</t>
        </is>
      </c>
      <c r="B10" s="8" t="n">
        <v>10</v>
      </c>
    </row>
    <row r="11">
      <c r="A11" s="4" t="inlineStr">
        <is>
          <t>Pro break-even (bottles per month)</t>
        </is>
      </c>
      <c r="B11">
        <f>ROUND(B9/(B3-B4),0)</f>
        <v/>
      </c>
    </row>
    <row r="13">
      <c r="A13" s="7" t="inlineStr">
        <is>
          <t>Offer</t>
        </is>
      </c>
      <c r="B13" s="7" t="inlineStr">
        <is>
          <t>Bottles in order</t>
        </is>
      </c>
      <c r="C13" s="7" t="inlineStr">
        <is>
          <t>Price per bottle $</t>
        </is>
      </c>
      <c r="D13" s="7" t="inlineStr">
        <is>
          <t>Order revenue $</t>
        </is>
      </c>
      <c r="E13" s="7" t="inlineStr">
        <is>
          <t>Landed cost, free $</t>
        </is>
      </c>
      <c r="F13" s="7" t="inlineStr">
        <is>
          <t>Stripe $</t>
        </is>
      </c>
      <c r="G13" s="7" t="inlineStr">
        <is>
          <t>Profit, free $</t>
        </is>
      </c>
      <c r="H13" s="7" t="inlineStr">
        <is>
          <t>Margin, free</t>
        </is>
      </c>
      <c r="I13" s="7" t="inlineStr">
        <is>
          <t>Landed cost, Pro $</t>
        </is>
      </c>
      <c r="J13" s="7" t="inlineStr">
        <is>
          <t>Profit, Pro $</t>
        </is>
      </c>
      <c r="K13" s="7" t="inlineStr">
        <is>
          <t>Margin, Pro</t>
        </is>
      </c>
      <c r="L13" s="7" t="inlineStr">
        <is>
          <t>Profit after ad cost (first order, free) $</t>
        </is>
      </c>
      <c r="M13" s="7" t="inlineStr">
        <is>
          <t>$ per 1,000 mg</t>
        </is>
      </c>
    </row>
    <row r="14">
      <c r="A14" t="inlineStr">
        <is>
          <t>One-time</t>
        </is>
      </c>
      <c r="B14" s="8" t="n">
        <v>1</v>
      </c>
      <c r="C14" s="5" t="n">
        <v>36</v>
      </c>
      <c r="D14" s="3">
        <f>B14*C14</f>
        <v/>
      </c>
      <c r="E14" s="3">
        <f>$B$3+(B14-1)*$B$5</f>
        <v/>
      </c>
      <c r="F14" s="3">
        <f>ROUND(D14*$B$6+$B$7,2)</f>
        <v/>
      </c>
      <c r="G14" s="3">
        <f>D14-E14-F14</f>
        <v/>
      </c>
      <c r="H14" s="9">
        <f>G14/D14</f>
        <v/>
      </c>
      <c r="I14" s="3">
        <f>$B$4+(B14-1)*$B$5</f>
        <v/>
      </c>
      <c r="J14" s="3">
        <f>D14-I14-F14</f>
        <v/>
      </c>
      <c r="K14" s="9">
        <f>J14/D14</f>
        <v/>
      </c>
      <c r="L14" s="3">
        <f>G14-$B$8</f>
        <v/>
      </c>
      <c r="M14" s="3">
        <f>ROUND(C14/60/$B$10*1000,2)</f>
        <v/>
      </c>
    </row>
    <row r="15">
      <c r="A15" t="inlineStr">
        <is>
          <t>One-time (low)</t>
        </is>
      </c>
      <c r="B15" s="8" t="n">
        <v>1</v>
      </c>
      <c r="C15" s="5" t="n">
        <v>30</v>
      </c>
      <c r="D15" s="3">
        <f>B15*C15</f>
        <v/>
      </c>
      <c r="E15" s="3">
        <f>$B$3+(B15-1)*$B$5</f>
        <v/>
      </c>
      <c r="F15" s="3">
        <f>ROUND(D15*$B$6+$B$7,2)</f>
        <v/>
      </c>
      <c r="G15" s="3">
        <f>D15-E15-F15</f>
        <v/>
      </c>
      <c r="H15" s="9">
        <f>G15/D15</f>
        <v/>
      </c>
      <c r="I15" s="3">
        <f>$B$4+(B15-1)*$B$5</f>
        <v/>
      </c>
      <c r="J15" s="3">
        <f>D15-I15-F15</f>
        <v/>
      </c>
      <c r="K15" s="9">
        <f>J15/D15</f>
        <v/>
      </c>
      <c r="L15" s="3">
        <f>G15-$B$8</f>
        <v/>
      </c>
      <c r="M15" s="3">
        <f>ROUND(C15/60/$B$10*1000,2)</f>
        <v/>
      </c>
    </row>
    <row r="16">
      <c r="A16" t="inlineStr">
        <is>
          <t>Subscribe</t>
        </is>
      </c>
      <c r="B16" s="8" t="n">
        <v>1</v>
      </c>
      <c r="C16" s="5" t="n">
        <v>32</v>
      </c>
      <c r="D16" s="3">
        <f>B16*C16</f>
        <v/>
      </c>
      <c r="E16" s="3">
        <f>$B$3+(B16-1)*$B$5</f>
        <v/>
      </c>
      <c r="F16" s="3">
        <f>ROUND(D16*$B$6+$B$7,2)</f>
        <v/>
      </c>
      <c r="G16" s="3">
        <f>D16-E16-F16</f>
        <v/>
      </c>
      <c r="H16" s="9">
        <f>G16/D16</f>
        <v/>
      </c>
      <c r="I16" s="3">
        <f>$B$4+(B16-1)*$B$5</f>
        <v/>
      </c>
      <c r="J16" s="3">
        <f>D16-I16-F16</f>
        <v/>
      </c>
      <c r="K16" s="9">
        <f>J16/D16</f>
        <v/>
      </c>
      <c r="L16" s="3">
        <f>G16-$B$8</f>
        <v/>
      </c>
      <c r="M16" s="3">
        <f>ROUND(C16/60/$B$10*1000,2)</f>
        <v/>
      </c>
    </row>
    <row r="17">
      <c r="A17" t="inlineStr">
        <is>
          <t>3-pack one-time</t>
        </is>
      </c>
      <c r="B17" s="8" t="n">
        <v>3</v>
      </c>
      <c r="C17" s="5" t="n">
        <v>32</v>
      </c>
      <c r="D17" s="3">
        <f>B17*C17</f>
        <v/>
      </c>
      <c r="E17" s="3">
        <f>$B$3+(B17-1)*$B$5</f>
        <v/>
      </c>
      <c r="F17" s="3">
        <f>ROUND(D17*$B$6+$B$7,2)</f>
        <v/>
      </c>
      <c r="G17" s="3">
        <f>D17-E17-F17</f>
        <v/>
      </c>
      <c r="H17" s="9">
        <f>G17/D17</f>
        <v/>
      </c>
      <c r="I17" s="3">
        <f>$B$4+(B17-1)*$B$5</f>
        <v/>
      </c>
      <c r="J17" s="3">
        <f>D17-I17-F17</f>
        <v/>
      </c>
      <c r="K17" s="9">
        <f>J17/D17</f>
        <v/>
      </c>
      <c r="L17" s="3">
        <f>G17-$B$8</f>
        <v/>
      </c>
      <c r="M17" s="3">
        <f>ROUND(C17/60/$B$10*1000,2)</f>
        <v/>
      </c>
    </row>
    <row r="20">
      <c r="A20" s="4" t="inlineStr">
        <is>
          <t>Per-mg comparison: price per bottle Noovit would need to match each competitor's $ per 1,000 mg (at B10 mg/day, 60 days per bottle)</t>
        </is>
      </c>
    </row>
    <row r="21">
      <c r="A21" s="11" t="inlineStr">
        <is>
          <t>Competitor</t>
        </is>
      </c>
      <c r="B21" s="11" t="inlineStr">
        <is>
          <t>Their mg/day</t>
        </is>
      </c>
      <c r="C21" s="11" t="inlineStr">
        <is>
          <t>Their price/day $</t>
        </is>
      </c>
      <c r="D21" s="11" t="inlineStr">
        <is>
          <t>Their $ per 1,000 mg</t>
        </is>
      </c>
      <c r="E21" s="11" t="inlineStr">
        <is>
          <t>Noovit price to match $</t>
        </is>
      </c>
    </row>
    <row r="22">
      <c r="A22">
        <f>'Methylene Blue competitors'!B4&amp;" – "&amp;'Methylene Blue competitors'!C4</f>
        <v/>
      </c>
      <c r="B22">
        <f>'Methylene Blue competitors'!J4</f>
        <v/>
      </c>
      <c r="C22" s="3">
        <f>'Methylene Blue competitors'!I4</f>
        <v/>
      </c>
      <c r="D22" s="3">
        <f>'Methylene Blue competitors'!K4</f>
        <v/>
      </c>
      <c r="E22" s="3">
        <f>ROUND(D22/1000*$B$10*60,2)</f>
        <v/>
      </c>
    </row>
    <row r="23">
      <c r="A23">
        <f>'Methylene Blue competitors'!B5&amp;" – "&amp;'Methylene Blue competitors'!C5</f>
        <v/>
      </c>
      <c r="B23">
        <f>'Methylene Blue competitors'!J5</f>
        <v/>
      </c>
      <c r="C23" s="3">
        <f>'Methylene Blue competitors'!I5</f>
        <v/>
      </c>
      <c r="D23" s="3">
        <f>'Methylene Blue competitors'!K5</f>
        <v/>
      </c>
      <c r="E23" s="3">
        <f>ROUND(D23/1000*$B$10*60,2)</f>
        <v/>
      </c>
    </row>
    <row r="24">
      <c r="A24">
        <f>'Methylene Blue competitors'!B6&amp;" – "&amp;'Methylene Blue competitors'!C6</f>
        <v/>
      </c>
      <c r="B24">
        <f>'Methylene Blue competitors'!J6</f>
        <v/>
      </c>
      <c r="C24" s="3">
        <f>'Methylene Blue competitors'!I6</f>
        <v/>
      </c>
      <c r="D24" s="3">
        <f>'Methylene Blue competitors'!K6</f>
        <v/>
      </c>
      <c r="E24" s="3">
        <f>ROUND(D24/1000*$B$10*60,2)</f>
        <v/>
      </c>
    </row>
    <row r="25">
      <c r="A25">
        <f>'Methylene Blue competitors'!B8&amp;" – "&amp;'Methylene Blue competitors'!C8</f>
        <v/>
      </c>
      <c r="B25">
        <f>'Methylene Blue competitors'!J8</f>
        <v/>
      </c>
      <c r="C25" s="3">
        <f>'Methylene Blue competitors'!I8</f>
        <v/>
      </c>
      <c r="D25" s="3">
        <f>'Methylene Blue competitors'!K8</f>
        <v/>
      </c>
      <c r="E25" s="3">
        <f>ROUND(D25/1000*$B$10*60,2)</f>
        <v/>
      </c>
    </row>
    <row r="26">
      <c r="A26">
        <f>'Methylene Blue competitors'!B9&amp;" – "&amp;'Methylene Blue competitors'!C9</f>
        <v/>
      </c>
      <c r="B26">
        <f>'Methylene Blue competitors'!J9</f>
        <v/>
      </c>
      <c r="C26" s="3">
        <f>'Methylene Blue competitors'!I9</f>
        <v/>
      </c>
      <c r="D26" s="3">
        <f>'Methylene Blue competitors'!K9</f>
        <v/>
      </c>
      <c r="E26" s="3">
        <f>ROUND(D26/1000*$B$10*60,2)</f>
        <v/>
      </c>
    </row>
    <row r="27">
      <c r="A27">
        <f>'Methylene Blue competitors'!B11&amp;" – "&amp;'Methylene Blue competitors'!C11</f>
        <v/>
      </c>
      <c r="B27">
        <f>'Methylene Blue competitors'!J11</f>
        <v/>
      </c>
      <c r="C27" s="3">
        <f>'Methylene Blue competitors'!I11</f>
        <v/>
      </c>
      <c r="D27" s="3">
        <f>'Methylene Blue competitors'!K11</f>
        <v/>
      </c>
      <c r="E27" s="3">
        <f>ROUND(D27/1000*$B$10*60,2)</f>
        <v/>
      </c>
    </row>
    <row r="28">
      <c r="A28">
        <f>'Methylene Blue competitors'!B12&amp;" – "&amp;'Methylene Blue competitors'!C12</f>
        <v/>
      </c>
      <c r="B28">
        <f>'Methylene Blue competitors'!J12</f>
        <v/>
      </c>
      <c r="C28" s="3">
        <f>'Methylene Blue competitors'!I12</f>
        <v/>
      </c>
      <c r="D28" s="3">
        <f>'Methylene Blue competitors'!K12</f>
        <v/>
      </c>
      <c r="E28" s="3">
        <f>ROUND(D28/1000*$B$10*60,2)</f>
        <v/>
      </c>
    </row>
    <row r="29">
      <c r="A29">
        <f>'Methylene Blue competitors'!B13&amp;" – "&amp;'Methylene Blue competitors'!C13</f>
        <v/>
      </c>
      <c r="B29">
        <f>'Methylene Blue competitors'!J13</f>
        <v/>
      </c>
      <c r="C29" s="3">
        <f>'Methylene Blue competitors'!I13</f>
        <v/>
      </c>
      <c r="D29" s="3">
        <f>'Methylene Blue competitors'!K13</f>
        <v/>
      </c>
      <c r="E29" s="3">
        <f>ROUND(D29/1000*$B$10*60,2)</f>
        <v/>
      </c>
    </row>
    <row r="30">
      <c r="A30">
        <f>'Methylene Blue competitors'!B15&amp;" – "&amp;'Methylene Blue competitors'!C15</f>
        <v/>
      </c>
      <c r="B30">
        <f>'Methylene Blue competitors'!J15</f>
        <v/>
      </c>
      <c r="C30" s="3">
        <f>'Methylene Blue competitors'!I15</f>
        <v/>
      </c>
      <c r="D30" s="3">
        <f>'Methylene Blue competitors'!K15</f>
        <v/>
      </c>
      <c r="E30" s="3">
        <f>ROUND(D30/1000*$B$10*60,2)</f>
        <v/>
      </c>
    </row>
    <row r="32">
      <c r="A32" s="10" t="inlineStr">
        <is>
          <t>Notes</t>
        </is>
      </c>
    </row>
    <row r="33">
      <c r="A33" s="1" t="inlineStr">
        <is>
          <t>RECOMMENDATION: do not sell yet. See docs/SHOPPING_ANALYSIS_METHYLENE_BLUE.md (regulatory status, serotonin interaction, G6PD).</t>
        </is>
      </c>
    </row>
    <row r="34">
      <c r="A34" s="1" t="inlineStr">
        <is>
          <t>COST IS A PLACEHOLDER: Supliful's page hides the price.</t>
        </is>
      </c>
    </row>
    <row r="35">
      <c r="A35" s="1" t="inlineStr">
        <is>
          <t>Supliful: 10 mg methylene blue per 1 mL serving, 60 mL bottle (600 mg, 60 servings at 1 mL/day). USP grade not stated.</t>
        </is>
      </c>
    </row>
    <row r="36">
      <c r="A36" s="1" t="inlineStr">
        <is>
          <t>Per mg, a $36 bottle (~$6 per 100 mg) is in line with ThistleDew and the 1% drops; price is not the problem here.</t>
        </is>
      </c>
    </row>
    <row r="37">
      <c r="A37" s="1" t="inlineStr">
        <is>
          <t>Competitor prices from Google Shopping on 28 Oct 2026; they change often.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7" customWidth="1" min="12" max="12"/>
    <col width="8" customWidth="1" min="13" max="13"/>
    <col width="16" customWidth="1" min="14" max="14"/>
    <col width="14" customWidth="1" min="15" max="15"/>
    <col width="40" customWidth="1" min="16" max="16"/>
    <col width="26" customWidth="1" min="17" max="17"/>
    <col width="34" customWidth="1" min="18" max="18"/>
  </cols>
  <sheetData>
    <row r="1">
      <c r="A1" s="1" t="inlineStr">
        <is>
          <t>Google Shopping, 'nad +', Denver CO, 28 Oct 2026 (sponsored carousel, 13 listings). Vials are lyophilised powder for injection sold 'for research use only' - not comparable with oral supplements. ~ = assumed.</t>
        </is>
      </c>
    </row>
    <row r="2">
      <c r="A2" s="2" t="inlineStr">
        <is>
          <t>#</t>
        </is>
      </c>
      <c r="B2" s="2" t="inlineStr">
        <is>
          <t>Brand</t>
        </is>
      </c>
      <c r="C2" s="2" t="inlineStr">
        <is>
          <t>Product</t>
        </is>
      </c>
      <c r="D2" s="2" t="inlineStr">
        <is>
          <t>Format</t>
        </is>
      </c>
      <c r="E2" s="2" t="inlineStr">
        <is>
          <t>Count</t>
        </is>
      </c>
      <c r="F2" s="2" t="inlineStr">
        <is>
          <t>Servings (days)</t>
        </is>
      </c>
      <c r="G2" s="2" t="inlineStr">
        <is>
          <t>Price $</t>
        </is>
      </c>
      <c r="H2" s="2" t="inlineStr">
        <is>
          <t>Was $</t>
        </is>
      </c>
      <c r="I2" s="2" t="inlineStr">
        <is>
          <t>Price per day $</t>
        </is>
      </c>
      <c r="J2" s="2" t="inlineStr">
        <is>
          <t>NAD+ mg/day</t>
        </is>
      </c>
      <c r="K2" s="2" t="inlineStr">
        <is>
          <t>$ per 1,000 mg</t>
        </is>
      </c>
      <c r="L2" s="2" t="inlineStr">
        <is>
          <t>Rating</t>
        </is>
      </c>
      <c r="M2" s="2" t="inlineStr">
        <is>
          <t>Reviews</t>
        </is>
      </c>
      <c r="N2" s="2" t="inlineStr">
        <is>
          <t>Seller</t>
        </is>
      </c>
      <c r="O2" s="2" t="inlineStr">
        <is>
          <t>Tier</t>
        </is>
      </c>
      <c r="P2" s="2" t="inlineStr">
        <is>
          <t>Lead angle / badges</t>
        </is>
      </c>
      <c r="Q2" s="2" t="inlineStr">
        <is>
          <t>Look</t>
        </is>
      </c>
      <c r="R2" s="2" t="inlineStr">
        <is>
          <t>Notes</t>
        </is>
      </c>
    </row>
    <row r="3">
      <c r="A3" t="n">
        <v>1</v>
      </c>
      <c r="B3" t="inlineStr">
        <is>
          <t>Vitasy</t>
        </is>
      </c>
      <c r="C3" t="inlineStr">
        <is>
          <t>Cortex NAD+ 60 capsules</t>
        </is>
      </c>
      <c r="D3" t="inlineStr">
        <is>
          <t>Capsule</t>
        </is>
      </c>
      <c r="E3" t="n">
        <v>60</v>
      </c>
      <c r="F3" t="n">
        <v>30</v>
      </c>
      <c r="G3" s="3" t="n">
        <v>39.99</v>
      </c>
      <c r="H3" s="3" t="n"/>
      <c r="I3" s="3">
        <f>IF(OR(F3="",G3=""),"",ROUND(G3/F3,2))</f>
        <v/>
      </c>
      <c r="J3" t="n">
        <v>500</v>
      </c>
      <c r="K3" s="3">
        <f>IF(OR(J3="",I3=""),"",ROUND(I3/J3*1000,2))</f>
        <v/>
      </c>
      <c r="M3" t="inlineStr"/>
      <c r="N3" t="inlineStr">
        <is>
          <t>Vitasy</t>
        </is>
      </c>
      <c r="O3" t="inlineStr">
        <is>
          <t>Oral capsule</t>
        </is>
      </c>
      <c r="P3" t="inlineStr">
        <is>
          <t>'Aids in normal aging process, promotes normal cell function, supports cardiovascular health'; free shipping</t>
        </is>
      </c>
      <c r="Q3" t="inlineStr">
        <is>
          <t>Dark navy label, white bottle</t>
        </is>
      </c>
      <c r="R3" t="inlineStr">
        <is>
          <t>Very likely the same Supliful formula; mg assumed</t>
        </is>
      </c>
    </row>
    <row r="4">
      <c r="A4" t="n">
        <v>2</v>
      </c>
      <c r="B4" t="inlineStr">
        <is>
          <t>Elysium Health</t>
        </is>
      </c>
      <c r="C4" t="inlineStr">
        <is>
          <t>Basis (NR + pterostilbene), 60 capsules</t>
        </is>
      </c>
      <c r="D4" t="inlineStr">
        <is>
          <t>Capsule</t>
        </is>
      </c>
      <c r="E4" t="n">
        <v>60</v>
      </c>
      <c r="F4" t="n">
        <v>30</v>
      </c>
      <c r="G4" s="3" t="n">
        <v>65</v>
      </c>
      <c r="H4" s="3" t="n"/>
      <c r="I4" s="3">
        <f>IF(OR(F4="",G4=""),"",ROUND(G4/F4,2))</f>
        <v/>
      </c>
      <c r="K4" s="3">
        <f>IF(OR(J4="",I4=""),"",ROUND(I4/J4*1000,2))</f>
        <v/>
      </c>
      <c r="L4" t="n">
        <v>4.3</v>
      </c>
      <c r="M4" t="inlineStr">
        <is>
          <t>1k+</t>
        </is>
      </c>
      <c r="N4" t="inlineStr">
        <is>
          <t>Elysium</t>
        </is>
      </c>
      <c r="O4" t="inlineStr">
        <is>
          <t>Oral capsule</t>
        </is>
      </c>
      <c r="P4" t="inlineStr">
        <is>
          <t>'Boost NAD+ levels', clinical trials on NR</t>
        </is>
      </c>
      <c r="Q4" t="inlineStr">
        <is>
          <t>Minimal white jar, capsules falling</t>
        </is>
      </c>
      <c r="R4" t="inlineStr">
        <is>
          <t>NR, not NAD+: not comparable per mg</t>
        </is>
      </c>
    </row>
    <row r="5">
      <c r="A5" t="n">
        <v>3</v>
      </c>
      <c r="B5" t="inlineStr">
        <is>
          <t>Innerbody Labs</t>
        </is>
      </c>
      <c r="C5" t="inlineStr">
        <is>
          <t>NAD+ Support (multi-bottle)</t>
        </is>
      </c>
      <c r="D5" t="inlineStr">
        <is>
          <t>Capsule</t>
        </is>
      </c>
      <c r="G5" s="3" t="n">
        <v>222</v>
      </c>
      <c r="H5" s="3" t="n"/>
      <c r="I5" s="3">
        <f>IF(OR(F5="",G5=""),"",ROUND(G5/F5,2))</f>
        <v/>
      </c>
      <c r="K5" s="3">
        <f>IF(OR(J5="",I5=""),"",ROUND(I5/J5*1000,2))</f>
        <v/>
      </c>
      <c r="M5" t="inlineStr"/>
      <c r="N5" t="inlineStr">
        <is>
          <t>Innerbody Labs</t>
        </is>
      </c>
      <c r="O5" t="inlineStr">
        <is>
          <t>Oral capsule</t>
        </is>
      </c>
      <c r="P5" t="inlineStr">
        <is>
          <t>'For cellular energy and longevity', 'ingredients supported by human research'</t>
        </is>
      </c>
      <c r="Q5" t="inlineStr">
        <is>
          <t>Amber glass, white minimal label</t>
        </is>
      </c>
      <c r="R5" t="inlineStr">
        <is>
          <t>Likely 3-bottle pack</t>
        </is>
      </c>
    </row>
    <row r="6">
      <c r="A6" t="n">
        <v>4</v>
      </c>
      <c r="B6" t="inlineStr">
        <is>
          <t>Global Healing</t>
        </is>
      </c>
      <c r="C6" t="inlineStr">
        <is>
          <t>Microsomal NAD+ liquid, 2 fl oz</t>
        </is>
      </c>
      <c r="D6" t="inlineStr">
        <is>
          <t>Oral liquid</t>
        </is>
      </c>
      <c r="E6" t="n">
        <v>60</v>
      </c>
      <c r="G6" s="3" t="n">
        <v>42.95</v>
      </c>
      <c r="H6" s="3" t="n"/>
      <c r="I6" s="3">
        <f>IF(OR(F6="",G6=""),"",ROUND(G6/F6,2))</f>
        <v/>
      </c>
      <c r="K6" s="3">
        <f>IF(OR(J6="",I6=""),"",ROUND(I6/J6*1000,2))</f>
        <v/>
      </c>
      <c r="M6" t="inlineStr"/>
      <c r="N6" t="inlineStr">
        <is>
          <t>Global Healing</t>
        </is>
      </c>
      <c r="O6" t="inlineStr">
        <is>
          <t>Oral liquid</t>
        </is>
      </c>
      <c r="P6" t="inlineStr">
        <is>
          <t>Free gift w/ $75+</t>
        </is>
      </c>
      <c r="Q6" t="inlineStr">
        <is>
          <t>Dark green dropper</t>
        </is>
      </c>
      <c r="R6" t="inlineStr"/>
    </row>
    <row r="7">
      <c r="A7" t="n">
        <v>5</v>
      </c>
      <c r="B7" t="inlineStr">
        <is>
          <t>Data Peptides</t>
        </is>
      </c>
      <c r="C7" t="inlineStr">
        <is>
          <t>NAD+ 500 mg vial</t>
        </is>
      </c>
      <c r="D7" t="inlineStr">
        <is>
          <t>Vial (injectable)</t>
        </is>
      </c>
      <c r="G7" s="3" t="n">
        <v>40</v>
      </c>
      <c r="H7" s="3" t="n"/>
      <c r="I7" s="3">
        <f>IF(OR(F7="",G7=""),"",ROUND(G7/F7,2))</f>
        <v/>
      </c>
      <c r="K7" s="3">
        <f>IF(OR(J7="",I7=""),"",ROUND(I7/J7*1000,2))</f>
        <v/>
      </c>
      <c r="M7" t="inlineStr"/>
      <c r="N7" t="inlineStr">
        <is>
          <t>Data Peptides</t>
        </is>
      </c>
      <c r="O7" t="inlineStr">
        <is>
          <t>Research vial</t>
        </is>
      </c>
      <c r="P7" t="inlineStr">
        <is>
          <t>'99% purity, lab tested, research use only'; 1st order $32</t>
        </is>
      </c>
      <c r="Q7" t="inlineStr">
        <is>
          <t>Designer box, blue blobs</t>
        </is>
      </c>
      <c r="R7" t="inlineStr">
        <is>
          <t>Grey market</t>
        </is>
      </c>
    </row>
    <row r="8">
      <c r="A8" t="n">
        <v>6</v>
      </c>
      <c r="B8" t="inlineStr">
        <is>
          <t>Peak Lab Peptides</t>
        </is>
      </c>
      <c r="C8" t="inlineStr">
        <is>
          <t>NAD+ 500 mg vial</t>
        </is>
      </c>
      <c r="D8" t="inlineStr">
        <is>
          <t>Vial (injectable)</t>
        </is>
      </c>
      <c r="G8" s="3" t="n">
        <v>23</v>
      </c>
      <c r="H8" s="3" t="n"/>
      <c r="I8" s="3">
        <f>IF(OR(F8="",G8=""),"",ROUND(G8/F8,2))</f>
        <v/>
      </c>
      <c r="K8" s="3">
        <f>IF(OR(J8="",I8=""),"",ROUND(I8/J8*1000,2))</f>
        <v/>
      </c>
      <c r="M8" t="inlineStr"/>
      <c r="N8" t="inlineStr">
        <is>
          <t>peaklabpeptides</t>
        </is>
      </c>
      <c r="O8" t="inlineStr">
        <is>
          <t>Research vial</t>
        </is>
      </c>
      <c r="P8" t="inlineStr">
        <is>
          <t>'Third party lab verified &gt;99% purity'</t>
        </is>
      </c>
      <c r="Q8" t="inlineStr">
        <is>
          <t>Black label vial</t>
        </is>
      </c>
      <c r="R8" t="inlineStr">
        <is>
          <t>Grey market</t>
        </is>
      </c>
    </row>
    <row r="9">
      <c r="A9" t="n">
        <v>7</v>
      </c>
      <c r="B9" t="inlineStr">
        <is>
          <t>Peak Lab Peptides</t>
        </is>
      </c>
      <c r="C9" t="inlineStr">
        <is>
          <t>NAD+ 100 mg vial</t>
        </is>
      </c>
      <c r="D9" t="inlineStr">
        <is>
          <t>Vial (injectable)</t>
        </is>
      </c>
      <c r="G9" s="3" t="n">
        <v>27</v>
      </c>
      <c r="H9" s="3" t="n"/>
      <c r="I9" s="3">
        <f>IF(OR(F9="",G9=""),"",ROUND(G9/F9,2))</f>
        <v/>
      </c>
      <c r="K9" s="3">
        <f>IF(OR(J9="",I9=""),"",ROUND(I9/J9*1000,2))</f>
        <v/>
      </c>
      <c r="M9" t="inlineStr"/>
      <c r="N9" t="inlineStr">
        <is>
          <t>peaklabpeptides</t>
        </is>
      </c>
      <c r="O9" t="inlineStr">
        <is>
          <t>Research vial</t>
        </is>
      </c>
      <c r="P9" t="inlineStr">
        <is>
          <t>—</t>
        </is>
      </c>
      <c r="Q9" t="inlineStr">
        <is>
          <t>Black label vial</t>
        </is>
      </c>
      <c r="R9" t="inlineStr">
        <is>
          <t>Grey market</t>
        </is>
      </c>
    </row>
    <row r="10">
      <c r="A10" t="n">
        <v>8</v>
      </c>
      <c r="B10" t="inlineStr">
        <is>
          <t>Nationwide Peptides</t>
        </is>
      </c>
      <c r="C10" t="inlineStr">
        <is>
          <t>NAD+ 'peptide' 1000 mg</t>
        </is>
      </c>
      <c r="D10" t="inlineStr">
        <is>
          <t>Vial (injectable)</t>
        </is>
      </c>
      <c r="G10" s="3" t="n">
        <v>119</v>
      </c>
      <c r="H10" s="3" t="n"/>
      <c r="I10" s="3">
        <f>IF(OR(F10="",G10=""),"",ROUND(G10/F10,2))</f>
        <v/>
      </c>
      <c r="K10" s="3">
        <f>IF(OR(J10="",I10=""),"",ROUND(I10/J10*1000,2))</f>
        <v/>
      </c>
      <c r="M10" t="inlineStr"/>
      <c r="N10" t="inlineStr">
        <is>
          <t>Nationwide</t>
        </is>
      </c>
      <c r="O10" t="inlineStr">
        <is>
          <t>Research vial</t>
        </is>
      </c>
      <c r="P10" t="inlineStr">
        <is>
          <t>'Reference material'</t>
        </is>
      </c>
      <c r="Q10" t="inlineStr">
        <is>
          <t>Blue label vial</t>
        </is>
      </c>
      <c r="R10" t="inlineStr">
        <is>
          <t>NAD+ is not a peptide</t>
        </is>
      </c>
    </row>
    <row r="11">
      <c r="A11" t="n">
        <v>9</v>
      </c>
      <c r="B11" t="inlineStr">
        <is>
          <t>Northline Labs</t>
        </is>
      </c>
      <c r="C11" t="inlineStr">
        <is>
          <t>NAD+ 500 mg</t>
        </is>
      </c>
      <c r="D11" t="inlineStr">
        <is>
          <t>Vial (injectable)</t>
        </is>
      </c>
      <c r="G11" s="3" t="n">
        <v>89.98999999999999</v>
      </c>
      <c r="H11" s="3" t="n"/>
      <c r="I11" s="3">
        <f>IF(OR(F11="",G11=""),"",ROUND(G11/F11,2))</f>
        <v/>
      </c>
      <c r="K11" s="3">
        <f>IF(OR(J11="",I11=""),"",ROUND(I11/J11*1000,2))</f>
        <v/>
      </c>
      <c r="M11" t="inlineStr"/>
      <c r="N11" t="inlineStr">
        <is>
          <t>Northline</t>
        </is>
      </c>
      <c r="O11" t="inlineStr">
        <is>
          <t>Research vial</t>
        </is>
      </c>
      <c r="P11" t="inlineStr">
        <is>
          <t>'For research use only', lot number</t>
        </is>
      </c>
      <c r="Q11" t="inlineStr">
        <is>
          <t>Green label vial</t>
        </is>
      </c>
      <c r="R11" t="inlineStr">
        <is>
          <t>Grey market</t>
        </is>
      </c>
    </row>
    <row r="12">
      <c r="A12" t="n">
        <v>10</v>
      </c>
      <c r="B12" t="inlineStr">
        <is>
          <t>PeakForce Labs</t>
        </is>
      </c>
      <c r="C12" t="inlineStr">
        <is>
          <t>NAD+ 500 mg vial</t>
        </is>
      </c>
      <c r="D12" t="inlineStr">
        <is>
          <t>Vial (injectable)</t>
        </is>
      </c>
      <c r="G12" s="3" t="n">
        <v>59</v>
      </c>
      <c r="H12" s="3" t="n"/>
      <c r="I12" s="3">
        <f>IF(OR(F12="",G12=""),"",ROUND(G12/F12,2))</f>
        <v/>
      </c>
      <c r="K12" s="3">
        <f>IF(OR(J12="",I12=""),"",ROUND(I12/J12*1000,2))</f>
        <v/>
      </c>
      <c r="M12" t="inlineStr"/>
      <c r="N12" t="inlineStr">
        <is>
          <t>PAProducts</t>
        </is>
      </c>
      <c r="O12" t="inlineStr">
        <is>
          <t>Research vial</t>
        </is>
      </c>
      <c r="P12" t="inlineStr">
        <is>
          <t>'For research use only'</t>
        </is>
      </c>
      <c r="Q12" t="inlineStr">
        <is>
          <t>White label vial</t>
        </is>
      </c>
      <c r="R12" t="inlineStr">
        <is>
          <t>Same seller as research methylene blue</t>
        </is>
      </c>
    </row>
    <row r="13">
      <c r="A13" t="n">
        <v>11</v>
      </c>
      <c r="B13" t="inlineStr">
        <is>
          <t>Profound Aminos</t>
        </is>
      </c>
      <c r="C13" t="inlineStr">
        <is>
          <t>NAD+ Pathway Research 500 mg</t>
        </is>
      </c>
      <c r="D13" t="inlineStr">
        <is>
          <t>Vial (injectable)</t>
        </is>
      </c>
      <c r="G13" s="3" t="n">
        <v>64.17</v>
      </c>
      <c r="H13" s="3" t="n">
        <v>93</v>
      </c>
      <c r="I13" s="3">
        <f>IF(OR(F13="",G13=""),"",ROUND(G13/F13,2))</f>
        <v/>
      </c>
      <c r="K13" s="3">
        <f>IF(OR(J13="",I13=""),"",ROUND(I13/J13*1000,2))</f>
        <v/>
      </c>
      <c r="M13" t="inlineStr"/>
      <c r="N13" t="inlineStr">
        <is>
          <t>Profound Aminos</t>
        </is>
      </c>
      <c r="O13" t="inlineStr">
        <is>
          <t>Research vial</t>
        </is>
      </c>
      <c r="P13" t="inlineStr">
        <is>
          <t>31% OFF, discount code, research use only</t>
        </is>
      </c>
      <c r="Q13" t="inlineStr">
        <is>
          <t>Rainbow label vial</t>
        </is>
      </c>
      <c r="R13" t="inlineStr">
        <is>
          <t>Grey market</t>
        </is>
      </c>
    </row>
    <row r="14">
      <c r="A14" t="n">
        <v>12</v>
      </c>
      <c r="B14" t="inlineStr">
        <is>
          <t>Mile High Compounds</t>
        </is>
      </c>
      <c r="C14" t="inlineStr">
        <is>
          <t>NAD+ nasal spray 30 mL '15X'</t>
        </is>
      </c>
      <c r="D14" t="inlineStr">
        <is>
          <t>Nasal spray</t>
        </is>
      </c>
      <c r="G14" s="3" t="n">
        <v>139.99</v>
      </c>
      <c r="H14" s="3" t="n"/>
      <c r="I14" s="3">
        <f>IF(OR(F14="",G14=""),"",ROUND(G14/F14,2))</f>
        <v/>
      </c>
      <c r="K14" s="3">
        <f>IF(OR(J14="",I14=""),"",ROUND(I14/J14*1000,2))</f>
        <v/>
      </c>
      <c r="M14" t="inlineStr"/>
      <c r="N14" t="inlineStr">
        <is>
          <t>Mile High</t>
        </is>
      </c>
      <c r="O14" t="inlineStr">
        <is>
          <t>Nasal spray</t>
        </is>
      </c>
      <c r="P14" t="inlineStr">
        <is>
          <t>'15X...', research use only</t>
        </is>
      </c>
      <c r="Q14" t="inlineStr">
        <is>
          <t>Blue sky photo</t>
        </is>
      </c>
      <c r="R14" t="inlineStr">
        <is>
          <t>Grey market</t>
        </is>
      </c>
    </row>
    <row r="15">
      <c r="A15" t="n">
        <v>13</v>
      </c>
      <c r="B15" t="inlineStr">
        <is>
          <t>Drip Hydration</t>
        </is>
      </c>
      <c r="C15" t="inlineStr">
        <is>
          <t>NAD+ nasal spray</t>
        </is>
      </c>
      <c r="D15" t="inlineStr">
        <is>
          <t>Nasal spray</t>
        </is>
      </c>
      <c r="G15" s="3" t="n"/>
      <c r="H15" s="3" t="n"/>
      <c r="I15" s="3">
        <f>IF(OR(F15="",G15=""),"",ROUND(G15/F15,2))</f>
        <v/>
      </c>
      <c r="K15" s="3">
        <f>IF(OR(J15="",I15=""),"",ROUND(I15/J15*1000,2))</f>
        <v/>
      </c>
      <c r="M15" t="inlineStr"/>
      <c r="N15" t="inlineStr">
        <is>
          <t>Drip Hydration</t>
        </is>
      </c>
      <c r="O15" t="inlineStr">
        <is>
          <t>Nasal spray</t>
        </is>
      </c>
      <c r="P15" t="inlineStr">
        <is>
          <t>IV-clinic brand</t>
        </is>
      </c>
      <c r="Q15" t="inlineStr">
        <is>
          <t>White spray bottle</t>
        </is>
      </c>
      <c r="R15" t="inlineStr">
        <is>
          <t>Price cut off</t>
        </is>
      </c>
    </row>
    <row r="16">
      <c r="A16" t="n">
        <v>14</v>
      </c>
      <c r="B16" t="inlineStr">
        <is>
          <t>Noovit (Supliful)</t>
        </is>
      </c>
      <c r="C16" t="inlineStr">
        <is>
          <t>NAD+ with quercetin &amp; resveratrol, 60 caps</t>
        </is>
      </c>
      <c r="D16" t="inlineStr">
        <is>
          <t>Capsule</t>
        </is>
      </c>
      <c r="E16" t="n">
        <v>60</v>
      </c>
      <c r="F16" t="n">
        <v>30</v>
      </c>
      <c r="G16" s="3" t="n">
        <v>40</v>
      </c>
      <c r="H16" s="3" t="n"/>
      <c r="I16" s="3">
        <f>IF(OR(F16="",G16=""),"",ROUND(G16/F16,2))</f>
        <v/>
      </c>
      <c r="J16" t="n">
        <v>500</v>
      </c>
      <c r="K16" s="3">
        <f>IF(OR(J16="",I16=""),"",ROUND(I16/J16*1000,2))</f>
        <v/>
      </c>
      <c r="M16" t="inlineStr"/>
      <c r="N16" t="inlineStr">
        <is>
          <t>noovit.com</t>
        </is>
      </c>
      <c r="O16" t="inlineStr">
        <is>
          <t>Oral capsule</t>
        </is>
      </c>
      <c r="P16" t="inlineStr">
        <is>
          <t>Evidence-graded (planned)</t>
        </is>
      </c>
      <c r="Q16" t="inlineStr">
        <is>
          <t>Label option B</t>
        </is>
      </c>
      <c r="R16" t="inlineStr">
        <is>
          <t>500 mg NAD+ + 250 mg quercetin + 150 mg resveratrol (per serving, to confirm)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60" customWidth="1" min="7" max="7"/>
    <col width="60" customWidth="1" min="8" max="8"/>
  </cols>
  <sheetData>
    <row r="1">
      <c r="A1" s="2" t="inlineStr">
        <is>
          <t>Tier</t>
        </is>
      </c>
      <c r="B1" s="2" t="inlineStr">
        <is>
          <t>Listings</t>
        </is>
      </c>
      <c r="C1" s="2" t="inlineStr">
        <is>
          <t>Min price $</t>
        </is>
      </c>
      <c r="D1" s="2" t="inlineStr">
        <is>
          <t>Median price $</t>
        </is>
      </c>
      <c r="E1" s="2" t="inlineStr">
        <is>
          <t>Max price $</t>
        </is>
      </c>
      <c r="F1" s="2" t="inlineStr">
        <is>
          <t>Avg price/day $</t>
        </is>
      </c>
      <c r="G1" s="2" t="inlineStr">
        <is>
          <t>Who</t>
        </is>
      </c>
      <c r="H1" s="2" t="inlineStr">
        <is>
          <t>Implication for Noovit</t>
        </is>
      </c>
    </row>
    <row r="2">
      <c r="A2" t="inlineStr">
        <is>
          <t>Oral capsule</t>
        </is>
      </c>
      <c r="B2">
        <f>COUNTIF('NAD+ competitors'!O$3:O$16,A2)</f>
        <v/>
      </c>
      <c r="C2" s="3">
        <f>_xlfn.MINIFS('NAD+ competitors'!G$3:G$16,'NAD+ competitors'!O$3:O$16,A2)</f>
        <v/>
      </c>
      <c r="D2" s="3">
        <f t="array" ref="D2">MEDIAN(IF(('NAD+ competitors'!O$3:O$16=A2)*('NAD+ competitors'!G$3:G$16&lt;&gt;""),'NAD+ competitors'!G$3:G$16))</f>
        <v/>
      </c>
      <c r="E2" s="3">
        <f>_xlfn.MAXIFS('NAD+ competitors'!G$3:G$16,'NAD+ competitors'!O$3:O$16,A2)</f>
        <v/>
      </c>
      <c r="F2" s="3">
        <f>IFERROR(ROUND(AVERAGEIFS('NAD+ competitors'!I$3:I$16,'NAD+ competitors'!O$3:O$16,A2),2),"")</f>
        <v/>
      </c>
      <c r="G2" t="inlineStr">
        <is>
          <t>Cortex (Vitasy), Elysium Basis (NR), Innerbody Labs</t>
        </is>
      </c>
      <c r="H2" t="inlineStr">
        <is>
          <t>OUR TIER: $40–65 a month. Cortex likely sells the same formula at $39.99</t>
        </is>
      </c>
    </row>
    <row r="3">
      <c r="A3" t="inlineStr">
        <is>
          <t>Oral liquid</t>
        </is>
      </c>
      <c r="B3">
        <f>COUNTIF('NAD+ competitors'!O$3:O$16,A3)</f>
        <v/>
      </c>
      <c r="C3" s="3">
        <f>_xlfn.MINIFS('NAD+ competitors'!G$3:G$16,'NAD+ competitors'!O$3:O$16,A3)</f>
        <v/>
      </c>
      <c r="D3" s="3">
        <f t="array" ref="D3">MEDIAN(IF(('NAD+ competitors'!O$3:O$16=A3)*('NAD+ competitors'!G$3:G$16&lt;&gt;""),'NAD+ competitors'!G$3:G$16))</f>
        <v/>
      </c>
      <c r="E3" s="3">
        <f>_xlfn.MAXIFS('NAD+ competitors'!G$3:G$16,'NAD+ competitors'!O$3:O$16,A3)</f>
        <v/>
      </c>
      <c r="F3" s="3">
        <f>IFERROR(ROUND(AVERAGEIFS('NAD+ competitors'!I$3:I$16,'NAD+ competitors'!O$3:O$16,A3),2),"")</f>
        <v/>
      </c>
      <c r="G3" t="inlineStr">
        <is>
          <t>Global Healing microsomal</t>
        </is>
      </c>
      <c r="H3" t="inlineStr">
        <is>
          <t>Niche</t>
        </is>
      </c>
    </row>
    <row r="4">
      <c r="A4" t="inlineStr">
        <is>
          <t>Research vial</t>
        </is>
      </c>
      <c r="B4">
        <f>COUNTIF('NAD+ competitors'!O$3:O$16,A4)</f>
        <v/>
      </c>
      <c r="C4" s="3">
        <f>_xlfn.MINIFS('NAD+ competitors'!G$3:G$16,'NAD+ competitors'!O$3:O$16,A4)</f>
        <v/>
      </c>
      <c r="D4" s="3">
        <f t="array" ref="D4">MEDIAN(IF(('NAD+ competitors'!O$3:O$16=A4)*('NAD+ competitors'!G$3:G$16&lt;&gt;""),'NAD+ competitors'!G$3:G$16))</f>
        <v/>
      </c>
      <c r="E4" s="3">
        <f>_xlfn.MAXIFS('NAD+ competitors'!G$3:G$16,'NAD+ competitors'!O$3:O$16,A4)</f>
        <v/>
      </c>
      <c r="F4" s="3">
        <f>IFERROR(ROUND(AVERAGEIFS('NAD+ competitors'!I$3:I$16,'NAD+ competitors'!O$3:O$16,A4),2),"")</f>
        <v/>
      </c>
      <c r="G4" t="inlineStr">
        <is>
          <t>Data Peptides, Peak Lab x2, Nationwide, Northline, PeakForce, Profound Aminos</t>
        </is>
      </c>
      <c r="H4" t="inlineStr">
        <is>
          <t>Injectable grey market: more than half the grid. Never our lane</t>
        </is>
      </c>
    </row>
    <row r="5">
      <c r="A5" t="inlineStr">
        <is>
          <t>Nasal spray</t>
        </is>
      </c>
      <c r="B5">
        <f>COUNTIF('NAD+ competitors'!O$3:O$16,A5)</f>
        <v/>
      </c>
      <c r="C5" s="3">
        <f>_xlfn.MINIFS('NAD+ competitors'!G$3:G$16,'NAD+ competitors'!O$3:O$16,A5)</f>
        <v/>
      </c>
      <c r="D5" s="3">
        <f t="array" ref="D5">MEDIAN(IF(('NAD+ competitors'!O$3:O$16=A5)*('NAD+ competitors'!G$3:G$16&lt;&gt;""),'NAD+ competitors'!G$3:G$16))</f>
        <v/>
      </c>
      <c r="E5" s="3">
        <f>_xlfn.MAXIFS('NAD+ competitors'!G$3:G$16,'NAD+ competitors'!O$3:O$16,A5)</f>
        <v/>
      </c>
      <c r="F5" s="3">
        <f>IFERROR(ROUND(AVERAGEIFS('NAD+ competitors'!I$3:I$16,'NAD+ competitors'!O$3:O$16,A5),2),"")</f>
        <v/>
      </c>
      <c r="G5" t="inlineStr">
        <is>
          <t>Mile High, Drip Hydration</t>
        </is>
      </c>
      <c r="H5" t="inlineStr">
        <is>
          <t>Grey market / IV-clinic brands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2" customWidth="1" min="9" max="9"/>
    <col width="11" customWidth="1" min="10" max="10"/>
    <col width="10" customWidth="1" min="11" max="11"/>
    <col width="16" customWidth="1" min="12" max="12"/>
    <col width="12" customWidth="1" min="13" max="13"/>
  </cols>
  <sheetData>
    <row r="1">
      <c r="A1" s="4" t="inlineStr">
        <is>
          <t>NAD+ 60 caps via Supliful. Orange cells are inputs: change them and everything recalculates.</t>
        </is>
      </c>
    </row>
    <row r="3">
      <c r="A3" t="inlineStr">
        <is>
          <t>Landed cost per bottle, free plan $ (PLACEHOLDER: send Supliful's NAD+ price)</t>
        </is>
      </c>
      <c r="B3" s="5" t="n">
        <v>12</v>
      </c>
    </row>
    <row r="4">
      <c r="A4" t="inlineStr">
        <is>
          <t>Landed cost per bottle, Pro plan $ (PLACEHOLDER)</t>
        </is>
      </c>
      <c r="B4" s="5" t="n">
        <v>9</v>
      </c>
    </row>
    <row r="5">
      <c r="A5" t="inlineStr">
        <is>
          <t>Extra bottle in same order $ (product only, PLACEHOLDER)</t>
        </is>
      </c>
      <c r="B5" s="5" t="n">
        <v>5</v>
      </c>
    </row>
    <row r="6">
      <c r="A6" t="inlineStr">
        <is>
          <t>Stripe fee %</t>
        </is>
      </c>
      <c r="B6" s="6" t="n">
        <v>0.029</v>
      </c>
    </row>
    <row r="7">
      <c r="A7" t="inlineStr">
        <is>
          <t>Stripe fixed fee per order $</t>
        </is>
      </c>
      <c r="B7" s="5" t="n">
        <v>0.3</v>
      </c>
    </row>
    <row r="8">
      <c r="A8" t="inlineStr">
        <is>
          <t>Ad cost to win a new customer $ (estimate)</t>
        </is>
      </c>
      <c r="B8" s="5" t="n">
        <v>18</v>
      </c>
    </row>
    <row r="9">
      <c r="A9" t="inlineStr">
        <is>
          <t>Supliful Pro monthly fee $</t>
        </is>
      </c>
      <c r="B9" s="5" t="n">
        <v>69</v>
      </c>
    </row>
    <row r="10">
      <c r="A10" t="inlineStr">
        <is>
          <t>Noovit NAD+ mg/day</t>
        </is>
      </c>
      <c r="B10" s="8" t="n">
        <v>500</v>
      </c>
    </row>
    <row r="11">
      <c r="A11" s="4" t="inlineStr">
        <is>
          <t>Pro break-even (bottles per month)</t>
        </is>
      </c>
      <c r="B11">
        <f>ROUND(B9/(B3-B4),0)</f>
        <v/>
      </c>
    </row>
    <row r="13">
      <c r="A13" s="7" t="inlineStr">
        <is>
          <t>Offer</t>
        </is>
      </c>
      <c r="B13" s="7" t="inlineStr">
        <is>
          <t>Bottles in order</t>
        </is>
      </c>
      <c r="C13" s="7" t="inlineStr">
        <is>
          <t>Price per bottle $</t>
        </is>
      </c>
      <c r="D13" s="7" t="inlineStr">
        <is>
          <t>Order revenue $</t>
        </is>
      </c>
      <c r="E13" s="7" t="inlineStr">
        <is>
          <t>Landed cost, free $</t>
        </is>
      </c>
      <c r="F13" s="7" t="inlineStr">
        <is>
          <t>Stripe $</t>
        </is>
      </c>
      <c r="G13" s="7" t="inlineStr">
        <is>
          <t>Profit, free $</t>
        </is>
      </c>
      <c r="H13" s="7" t="inlineStr">
        <is>
          <t>Margin, free</t>
        </is>
      </c>
      <c r="I13" s="7" t="inlineStr">
        <is>
          <t>Landed cost, Pro $</t>
        </is>
      </c>
      <c r="J13" s="7" t="inlineStr">
        <is>
          <t>Profit, Pro $</t>
        </is>
      </c>
      <c r="K13" s="7" t="inlineStr">
        <is>
          <t>Margin, Pro</t>
        </is>
      </c>
      <c r="L13" s="7" t="inlineStr">
        <is>
          <t>Profit after ad cost (first order, free) $</t>
        </is>
      </c>
      <c r="M13" s="7" t="inlineStr">
        <is>
          <t>$ per 1,000 mg</t>
        </is>
      </c>
    </row>
    <row r="14">
      <c r="A14" t="inlineStr">
        <is>
          <t>One-time (match Cortex)</t>
        </is>
      </c>
      <c r="B14" s="8" t="n">
        <v>1</v>
      </c>
      <c r="C14" s="5" t="n">
        <v>40</v>
      </c>
      <c r="D14" s="3">
        <f>B14*C14</f>
        <v/>
      </c>
      <c r="E14" s="3">
        <f>$B$3+(B14-1)*$B$5</f>
        <v/>
      </c>
      <c r="F14" s="3">
        <f>ROUND(D14*$B$6+$B$7,2)</f>
        <v/>
      </c>
      <c r="G14" s="3">
        <f>D14-E14-F14</f>
        <v/>
      </c>
      <c r="H14" s="9">
        <f>G14/D14</f>
        <v/>
      </c>
      <c r="I14" s="3">
        <f>$B$4+(B14-1)*$B$5</f>
        <v/>
      </c>
      <c r="J14" s="3">
        <f>D14-I14-F14</f>
        <v/>
      </c>
      <c r="K14" s="9">
        <f>J14/D14</f>
        <v/>
      </c>
      <c r="L14" s="3">
        <f>G14-$B$8</f>
        <v/>
      </c>
      <c r="M14" s="3">
        <f>ROUND(C14/30/$B$10*1000,2)</f>
        <v/>
      </c>
    </row>
    <row r="15">
      <c r="A15" t="inlineStr">
        <is>
          <t>One-time (premium)</t>
        </is>
      </c>
      <c r="B15" s="8" t="n">
        <v>1</v>
      </c>
      <c r="C15" s="5" t="n">
        <v>45</v>
      </c>
      <c r="D15" s="3">
        <f>B15*C15</f>
        <v/>
      </c>
      <c r="E15" s="3">
        <f>$B$3+(B15-1)*$B$5</f>
        <v/>
      </c>
      <c r="F15" s="3">
        <f>ROUND(D15*$B$6+$B$7,2)</f>
        <v/>
      </c>
      <c r="G15" s="3">
        <f>D15-E15-F15</f>
        <v/>
      </c>
      <c r="H15" s="9">
        <f>G15/D15</f>
        <v/>
      </c>
      <c r="I15" s="3">
        <f>$B$4+(B15-1)*$B$5</f>
        <v/>
      </c>
      <c r="J15" s="3">
        <f>D15-I15-F15</f>
        <v/>
      </c>
      <c r="K15" s="9">
        <f>J15/D15</f>
        <v/>
      </c>
      <c r="L15" s="3">
        <f>G15-$B$8</f>
        <v/>
      </c>
      <c r="M15" s="3">
        <f>ROUND(C15/30/$B$10*1000,2)</f>
        <v/>
      </c>
    </row>
    <row r="16">
      <c r="A16" t="inlineStr">
        <is>
          <t>Subscribe</t>
        </is>
      </c>
      <c r="B16" s="8" t="n">
        <v>1</v>
      </c>
      <c r="C16" s="5" t="n">
        <v>36</v>
      </c>
      <c r="D16" s="3">
        <f>B16*C16</f>
        <v/>
      </c>
      <c r="E16" s="3">
        <f>$B$3+(B16-1)*$B$5</f>
        <v/>
      </c>
      <c r="F16" s="3">
        <f>ROUND(D16*$B$6+$B$7,2)</f>
        <v/>
      </c>
      <c r="G16" s="3">
        <f>D16-E16-F16</f>
        <v/>
      </c>
      <c r="H16" s="9">
        <f>G16/D16</f>
        <v/>
      </c>
      <c r="I16" s="3">
        <f>$B$4+(B16-1)*$B$5</f>
        <v/>
      </c>
      <c r="J16" s="3">
        <f>D16-I16-F16</f>
        <v/>
      </c>
      <c r="K16" s="9">
        <f>J16/D16</f>
        <v/>
      </c>
      <c r="L16" s="3">
        <f>G16-$B$8</f>
        <v/>
      </c>
      <c r="M16" s="3">
        <f>ROUND(C16/30/$B$10*1000,2)</f>
        <v/>
      </c>
    </row>
    <row r="17">
      <c r="A17" t="inlineStr">
        <is>
          <t>3-pack one-time</t>
        </is>
      </c>
      <c r="B17" s="8" t="n">
        <v>3</v>
      </c>
      <c r="C17" s="5" t="n">
        <v>38</v>
      </c>
      <c r="D17" s="3">
        <f>B17*C17</f>
        <v/>
      </c>
      <c r="E17" s="3">
        <f>$B$3+(B17-1)*$B$5</f>
        <v/>
      </c>
      <c r="F17" s="3">
        <f>ROUND(D17*$B$6+$B$7,2)</f>
        <v/>
      </c>
      <c r="G17" s="3">
        <f>D17-E17-F17</f>
        <v/>
      </c>
      <c r="H17" s="9">
        <f>G17/D17</f>
        <v/>
      </c>
      <c r="I17" s="3">
        <f>$B$4+(B17-1)*$B$5</f>
        <v/>
      </c>
      <c r="J17" s="3">
        <f>D17-I17-F17</f>
        <v/>
      </c>
      <c r="K17" s="9">
        <f>J17/D17</f>
        <v/>
      </c>
      <c r="L17" s="3">
        <f>G17-$B$8</f>
        <v/>
      </c>
      <c r="M17" s="3">
        <f>ROUND(C17/30/$B$10*1000,2)</f>
        <v/>
      </c>
    </row>
    <row r="20">
      <c r="A20" s="4" t="inlineStr">
        <is>
          <t>Per-mg comparison: price per bottle Noovit would need to match each competitor's $ per 1,000 mg (at B10 mg/day, 30 days per bottle)</t>
        </is>
      </c>
    </row>
    <row r="21">
      <c r="A21" s="11" t="inlineStr">
        <is>
          <t>Competitor</t>
        </is>
      </c>
      <c r="B21" s="11" t="inlineStr">
        <is>
          <t>Their mg/day</t>
        </is>
      </c>
      <c r="C21" s="11" t="inlineStr">
        <is>
          <t>Their price/day $</t>
        </is>
      </c>
      <c r="D21" s="11" t="inlineStr">
        <is>
          <t>Their $ per 1,000 mg</t>
        </is>
      </c>
      <c r="E21" s="11" t="inlineStr">
        <is>
          <t>Noovit price to match $</t>
        </is>
      </c>
    </row>
    <row r="22">
      <c r="A22">
        <f>'NAD+ competitors'!B3&amp;" – "&amp;'NAD+ competitors'!C3</f>
        <v/>
      </c>
      <c r="B22">
        <f>'NAD+ competitors'!J3</f>
        <v/>
      </c>
      <c r="C22" s="3">
        <f>'NAD+ competitors'!I3</f>
        <v/>
      </c>
      <c r="D22" s="3">
        <f>'NAD+ competitors'!K3</f>
        <v/>
      </c>
      <c r="E22" s="3">
        <f>ROUND(D22/1000*$B$10*30,2)</f>
        <v/>
      </c>
    </row>
    <row r="24">
      <c r="A24" s="10" t="inlineStr">
        <is>
          <t>Notes</t>
        </is>
      </c>
    </row>
    <row r="25">
      <c r="A25" s="1" t="inlineStr">
        <is>
          <t>COST IS A PLACEHOLDER: Supliful's page hides the price.</t>
        </is>
      </c>
    </row>
    <row r="26">
      <c r="A26" s="1" t="inlineStr">
        <is>
          <t>Most of the grid is injectable 'research use only' vials and nasal sprays (the 'liquid' look). Not supplements; not comparable; not our lane.</t>
        </is>
      </c>
    </row>
    <row r="27">
      <c r="A27" s="1" t="inlineStr">
        <is>
          <t>Cortex (Vitasy) almost certainly sells the same Supliful NAD+ capsule at $39.99 with free shipping. Same formula = we must win on brand, honesty and content, not product.</t>
        </is>
      </c>
    </row>
    <row r="28">
      <c r="A28" s="1" t="inlineStr">
        <is>
          <t>Elysium Basis uses NR (nicotinamide riboside), which has the best human evidence for raising NAD+; oral NAD+ itself has little.</t>
        </is>
      </c>
    </row>
    <row r="29">
      <c r="A29" s="1" t="inlineStr">
        <is>
          <t>Competitor prices from Google Shopping on 28 Oct 2026; they change often.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7" customWidth="1" min="12" max="12"/>
    <col width="8" customWidth="1" min="13" max="13"/>
    <col width="16" customWidth="1" min="14" max="14"/>
    <col width="14" customWidth="1" min="15" max="15"/>
    <col width="40" customWidth="1" min="16" max="16"/>
    <col width="26" customWidth="1" min="17" max="17"/>
    <col width="34" customWidth="1" min="18" max="18"/>
  </cols>
  <sheetData>
    <row r="1">
      <c r="A1" s="1" t="inlineStr">
        <is>
          <t>Google Shopping, 'ashwagandha ksm-66', Denver CO, 28 Oct 2026 (sponsored carousel, ~22 listings; Vitasy gummy flavours counted once). ~ = assumed.</t>
        </is>
      </c>
    </row>
    <row r="2">
      <c r="A2" s="2" t="inlineStr">
        <is>
          <t>#</t>
        </is>
      </c>
      <c r="B2" s="2" t="inlineStr">
        <is>
          <t>Brand</t>
        </is>
      </c>
      <c r="C2" s="2" t="inlineStr">
        <is>
          <t>Product</t>
        </is>
      </c>
      <c r="D2" s="2" t="inlineStr">
        <is>
          <t>Format</t>
        </is>
      </c>
      <c r="E2" s="2" t="inlineStr">
        <is>
          <t>Count</t>
        </is>
      </c>
      <c r="F2" s="2" t="inlineStr">
        <is>
          <t>Servings (days)</t>
        </is>
      </c>
      <c r="G2" s="2" t="inlineStr">
        <is>
          <t>Price $</t>
        </is>
      </c>
      <c r="H2" s="2" t="inlineStr">
        <is>
          <t>Was $</t>
        </is>
      </c>
      <c r="I2" s="2" t="inlineStr">
        <is>
          <t>Price per day $</t>
        </is>
      </c>
      <c r="J2" s="2" t="inlineStr">
        <is>
          <t>KSM-66 mg/day</t>
        </is>
      </c>
      <c r="K2" s="2" t="inlineStr">
        <is>
          <t>$ per 1,000 mg</t>
        </is>
      </c>
      <c r="L2" s="2" t="inlineStr">
        <is>
          <t>Rating</t>
        </is>
      </c>
      <c r="M2" s="2" t="inlineStr">
        <is>
          <t>Reviews</t>
        </is>
      </c>
      <c r="N2" s="2" t="inlineStr">
        <is>
          <t>Seller</t>
        </is>
      </c>
      <c r="O2" s="2" t="inlineStr">
        <is>
          <t>Tier</t>
        </is>
      </c>
      <c r="P2" s="2" t="inlineStr">
        <is>
          <t>Lead angle / badges</t>
        </is>
      </c>
      <c r="Q2" s="2" t="inlineStr">
        <is>
          <t>Look</t>
        </is>
      </c>
      <c r="R2" s="2" t="inlineStr">
        <is>
          <t>Notes</t>
        </is>
      </c>
    </row>
    <row r="3">
      <c r="A3" t="n">
        <v>1</v>
      </c>
      <c r="B3" t="inlineStr">
        <is>
          <t>Vitasy</t>
        </is>
      </c>
      <c r="C3" t="inlineStr">
        <is>
          <t>Cortex Ashwagandha Plus, 60 caps</t>
        </is>
      </c>
      <c r="D3" t="inlineStr">
        <is>
          <t>Capsule</t>
        </is>
      </c>
      <c r="E3" t="n">
        <v>60</v>
      </c>
      <c r="F3" t="n">
        <v>30</v>
      </c>
      <c r="G3" s="3" t="n">
        <v>29.99</v>
      </c>
      <c r="H3" s="3" t="n"/>
      <c r="I3" s="3">
        <f>IF(OR(F3="",G3=""),"",ROUND(G3/F3,2))</f>
        <v/>
      </c>
      <c r="J3" t="n">
        <v>600</v>
      </c>
      <c r="K3" s="3">
        <f>IF(OR(J3="",I3=""),"",ROUND(I3/J3*1000,2))</f>
        <v/>
      </c>
      <c r="M3" t="inlineStr"/>
      <c r="N3" t="inlineStr">
        <is>
          <t>Vitasy</t>
        </is>
      </c>
      <c r="O3" t="inlineStr">
        <is>
          <t>Core capsule</t>
        </is>
      </c>
      <c r="P3" t="inlineStr">
        <is>
          <t>'Supports energy, vitality and overall wellness'; free shipping</t>
        </is>
      </c>
      <c r="Q3" t="inlineStr">
        <is>
          <t>Dark navy label</t>
        </is>
      </c>
      <c r="R3" t="inlineStr">
        <is>
          <t>SAME Supliful Ashwagandha Plus (KSM-66 600 mg)</t>
        </is>
      </c>
    </row>
    <row r="4">
      <c r="A4" t="n">
        <v>2</v>
      </c>
      <c r="B4" t="inlineStr">
        <is>
          <t>Vitasy</t>
        </is>
      </c>
      <c r="C4" t="inlineStr">
        <is>
          <t>Compass Ashwagandha Plus, 60 caps</t>
        </is>
      </c>
      <c r="D4" t="inlineStr">
        <is>
          <t>Capsule</t>
        </is>
      </c>
      <c r="E4" t="n">
        <v>60</v>
      </c>
      <c r="F4" t="n">
        <v>30</v>
      </c>
      <c r="G4" s="3" t="n">
        <v>29.99</v>
      </c>
      <c r="H4" s="3" t="n"/>
      <c r="I4" s="3">
        <f>IF(OR(F4="",G4=""),"",ROUND(G4/F4,2))</f>
        <v/>
      </c>
      <c r="J4" t="n">
        <v>600</v>
      </c>
      <c r="K4" s="3">
        <f>IF(OR(J4="",I4=""),"",ROUND(I4/J4*1000,2))</f>
        <v/>
      </c>
      <c r="M4" t="inlineStr"/>
      <c r="N4" t="inlineStr">
        <is>
          <t>Vitasy</t>
        </is>
      </c>
      <c r="O4" t="inlineStr">
        <is>
          <t>Core capsule</t>
        </is>
      </c>
      <c r="P4" t="inlineStr">
        <is>
          <t>Free shipping</t>
        </is>
      </c>
      <c r="Q4" t="inlineStr">
        <is>
          <t>Navy label, gold compass</t>
        </is>
      </c>
      <c r="R4" t="inlineStr">
        <is>
          <t>SAME Supliful product, 2nd Vitasy brand</t>
        </is>
      </c>
    </row>
    <row r="5">
      <c r="A5" t="n">
        <v>3</v>
      </c>
      <c r="B5" t="inlineStr">
        <is>
          <t>Vitasy</t>
        </is>
      </c>
      <c r="C5" t="inlineStr">
        <is>
          <t>Fernwood Ashwagandha Plus, 60 caps</t>
        </is>
      </c>
      <c r="D5" t="inlineStr">
        <is>
          <t>Capsule</t>
        </is>
      </c>
      <c r="E5" t="n">
        <v>60</v>
      </c>
      <c r="F5" t="n">
        <v>30</v>
      </c>
      <c r="G5" s="3" t="n">
        <v>29.99</v>
      </c>
      <c r="H5" s="3" t="n"/>
      <c r="I5" s="3">
        <f>IF(OR(F5="",G5=""),"",ROUND(G5/F5,2))</f>
        <v/>
      </c>
      <c r="J5" t="n">
        <v>600</v>
      </c>
      <c r="K5" s="3">
        <f>IF(OR(J5="",I5=""),"",ROUND(I5/J5*1000,2))</f>
        <v/>
      </c>
      <c r="M5" t="inlineStr"/>
      <c r="N5" t="inlineStr">
        <is>
          <t>Vitasy</t>
        </is>
      </c>
      <c r="O5" t="inlineStr">
        <is>
          <t>Core capsule</t>
        </is>
      </c>
      <c r="P5" t="inlineStr">
        <is>
          <t>Free shipping</t>
        </is>
      </c>
      <c r="Q5" t="inlineStr">
        <is>
          <t>White label, fern logo</t>
        </is>
      </c>
      <c r="R5" t="inlineStr">
        <is>
          <t>SAME Supliful product, 3rd Vitasy brand</t>
        </is>
      </c>
    </row>
    <row r="6">
      <c r="A6" t="n">
        <v>4</v>
      </c>
      <c r="B6" t="inlineStr">
        <is>
          <t>Vitasy</t>
        </is>
      </c>
      <c r="C6" t="inlineStr">
        <is>
          <t>Fernwood Ashwagandha with black pepper, 60 caps</t>
        </is>
      </c>
      <c r="D6" t="inlineStr">
        <is>
          <t>Capsule</t>
        </is>
      </c>
      <c r="E6" t="n">
        <v>60</v>
      </c>
      <c r="F6" t="n">
        <v>30</v>
      </c>
      <c r="G6" s="3" t="n">
        <v>24.99</v>
      </c>
      <c r="H6" s="3" t="n"/>
      <c r="I6" s="3">
        <f>IF(OR(F6="",G6=""),"",ROUND(G6/F6,2))</f>
        <v/>
      </c>
      <c r="K6" s="3">
        <f>IF(OR(J6="",I6=""),"",ROUND(I6/J6*1000,2))</f>
        <v/>
      </c>
      <c r="M6" t="inlineStr"/>
      <c r="N6" t="inlineStr">
        <is>
          <t>Vitasy</t>
        </is>
      </c>
      <c r="O6" t="inlineStr">
        <is>
          <t>Core capsule</t>
        </is>
      </c>
      <c r="P6" t="inlineStr">
        <is>
          <t>Free shipping</t>
        </is>
      </c>
      <c r="Q6" t="inlineStr">
        <is>
          <t>White label, fern logo</t>
        </is>
      </c>
      <c r="R6" t="inlineStr">
        <is>
          <t>Another Supliful SKU</t>
        </is>
      </c>
    </row>
    <row r="7">
      <c r="A7" t="n">
        <v>5</v>
      </c>
      <c r="B7" t="inlineStr">
        <is>
          <t>Revive MD</t>
        </is>
      </c>
      <c r="C7" t="inlineStr">
        <is>
          <t>KSM-66 Ashwagandha, 60 veg caps</t>
        </is>
      </c>
      <c r="D7" t="inlineStr">
        <is>
          <t>Capsule</t>
        </is>
      </c>
      <c r="E7" t="n">
        <v>60</v>
      </c>
      <c r="F7" t="n">
        <v>30</v>
      </c>
      <c r="G7" s="3" t="n">
        <v>26.99</v>
      </c>
      <c r="H7" s="3" t="n"/>
      <c r="I7" s="3">
        <f>IF(OR(F7="",G7=""),"",ROUND(G7/F7,2))</f>
        <v/>
      </c>
      <c r="K7" s="3">
        <f>IF(OR(J7="",I7=""),"",ROUND(I7/J7*1000,2))</f>
        <v/>
      </c>
      <c r="L7" t="n">
        <v>4.7</v>
      </c>
      <c r="M7" t="inlineStr">
        <is>
          <t>256</t>
        </is>
      </c>
      <c r="N7" t="inlineStr">
        <is>
          <t>Revive MD</t>
        </is>
      </c>
      <c r="O7" t="inlineStr">
        <is>
          <t>Core capsule</t>
        </is>
      </c>
      <c r="P7" t="inlineStr">
        <is>
          <t>KSM-66 + BioPerine, doctor-led brand</t>
        </is>
      </c>
      <c r="Q7" t="inlineStr">
        <is>
          <t>White bottle, blue/white</t>
        </is>
      </c>
      <c r="R7" t="inlineStr">
        <is>
          <t>~servings</t>
        </is>
      </c>
    </row>
    <row r="8">
      <c r="A8" t="n">
        <v>6</v>
      </c>
      <c r="B8" t="inlineStr">
        <is>
          <t>Physician's Choice</t>
        </is>
      </c>
      <c r="C8" t="inlineStr">
        <is>
          <t>KSM-66 Ashwagandha 1000 mg + black pepper 15 mg</t>
        </is>
      </c>
      <c r="D8" t="inlineStr">
        <is>
          <t>Capsule</t>
        </is>
      </c>
      <c r="E8" t="n">
        <v>60</v>
      </c>
      <c r="F8" t="n">
        <v>30</v>
      </c>
      <c r="G8" s="3" t="n">
        <v>29.97</v>
      </c>
      <c r="H8" s="3" t="n"/>
      <c r="I8" s="3">
        <f>IF(OR(F8="",G8=""),"",ROUND(G8/F8,2))</f>
        <v/>
      </c>
      <c r="J8" t="n">
        <v>1000</v>
      </c>
      <c r="K8" s="3">
        <f>IF(OR(J8="",I8=""),"",ROUND(I8/J8*1000,2))</f>
        <v/>
      </c>
      <c r="L8" t="n">
        <v>4.8</v>
      </c>
      <c r="M8" t="inlineStr"/>
      <c r="N8" t="inlineStr">
        <is>
          <t>Physician's Choice</t>
        </is>
      </c>
      <c r="O8" t="inlineStr">
        <is>
          <t>Core capsule</t>
        </is>
      </c>
      <c r="P8" t="inlineStr">
        <is>
          <t>Big dose number, 'developed with doctors'</t>
        </is>
      </c>
      <c r="Q8" t="inlineStr">
        <is>
          <t>Orange, busy</t>
        </is>
      </c>
      <c r="R8" t="inlineStr">
        <is>
          <t>~2 caps/day</t>
        </is>
      </c>
    </row>
    <row r="9">
      <c r="A9" t="n">
        <v>7</v>
      </c>
      <c r="B9" t="inlineStr">
        <is>
          <t>Thorne</t>
        </is>
      </c>
      <c r="C9" t="inlineStr">
        <is>
          <t>Ashwagandha (calming stress support)</t>
        </is>
      </c>
      <c r="D9" t="inlineStr">
        <is>
          <t>Capsule</t>
        </is>
      </c>
      <c r="E9" t="n">
        <v>60</v>
      </c>
      <c r="F9" t="n">
        <v>30</v>
      </c>
      <c r="G9" s="3" t="n">
        <v>22</v>
      </c>
      <c r="H9" s="3" t="n"/>
      <c r="I9" s="3">
        <f>IF(OR(F9="",G9=""),"",ROUND(G9/F9,2))</f>
        <v/>
      </c>
      <c r="K9" s="3">
        <f>IF(OR(J9="",I9=""),"",ROUND(I9/J9*1000,2))</f>
        <v/>
      </c>
      <c r="L9" t="n">
        <v>4.6</v>
      </c>
      <c r="M9" t="inlineStr">
        <is>
          <t>162</t>
        </is>
      </c>
      <c r="N9" t="inlineStr">
        <is>
          <t>Thorne</t>
        </is>
      </c>
      <c r="O9" t="inlineStr">
        <is>
          <t>Core capsule</t>
        </is>
      </c>
      <c r="P9" t="inlineStr">
        <is>
          <t>Clinical brand</t>
        </is>
      </c>
      <c r="Q9" t="inlineStr">
        <is>
          <t>Minimal white, green art</t>
        </is>
      </c>
      <c r="R9" t="inlineStr">
        <is>
          <t>Not KSM-66 (different extract); ~servings</t>
        </is>
      </c>
    </row>
    <row r="10">
      <c r="A10" t="n">
        <v>8</v>
      </c>
      <c r="B10" t="inlineStr">
        <is>
          <t>Brainstorm Nutrition</t>
        </is>
      </c>
      <c r="C10" t="inlineStr">
        <is>
          <t>Ashwagandha with black pepper, 60 caps</t>
        </is>
      </c>
      <c r="D10" t="inlineStr">
        <is>
          <t>Capsule</t>
        </is>
      </c>
      <c r="E10" t="n">
        <v>60</v>
      </c>
      <c r="F10" t="n">
        <v>30</v>
      </c>
      <c r="G10" s="3" t="n">
        <v>24.99</v>
      </c>
      <c r="H10" s="3" t="n"/>
      <c r="I10" s="3">
        <f>IF(OR(F10="",G10=""),"",ROUND(G10/F10,2))</f>
        <v/>
      </c>
      <c r="K10" s="3">
        <f>IF(OR(J10="",I10=""),"",ROUND(I10/J10*1000,2))</f>
        <v/>
      </c>
      <c r="M10" t="inlineStr"/>
      <c r="N10" t="inlineStr">
        <is>
          <t>Brainstorm</t>
        </is>
      </c>
      <c r="O10" t="inlineStr">
        <is>
          <t>Core capsule</t>
        </is>
      </c>
      <c r="P10" t="inlineStr">
        <is>
          <t>Balance, calm, wellness</t>
        </is>
      </c>
      <c r="Q10" t="inlineStr">
        <is>
          <t>Grey label, mountain art</t>
        </is>
      </c>
      <c r="R10" t="inlineStr">
        <is>
          <t>~servings</t>
        </is>
      </c>
    </row>
    <row r="11">
      <c r="A11" t="n">
        <v>9</v>
      </c>
      <c r="B11" t="inlineStr">
        <is>
          <t>BetterVits</t>
        </is>
      </c>
      <c r="C11" t="inlineStr">
        <is>
          <t>Ashwagandha complex (passion flower + vitamin B), 60 caps</t>
        </is>
      </c>
      <c r="D11" t="inlineStr">
        <is>
          <t>Capsule</t>
        </is>
      </c>
      <c r="E11" t="n">
        <v>60</v>
      </c>
      <c r="F11" t="n">
        <v>30</v>
      </c>
      <c r="G11" s="3" t="n">
        <v>30</v>
      </c>
      <c r="H11" s="3" t="n"/>
      <c r="I11" s="3">
        <f>IF(OR(F11="",G11=""),"",ROUND(G11/F11,2))</f>
        <v/>
      </c>
      <c r="K11" s="3">
        <f>IF(OR(J11="",I11=""),"",ROUND(I11/J11*1000,2))</f>
        <v/>
      </c>
      <c r="M11" t="inlineStr"/>
      <c r="N11" t="inlineStr">
        <is>
          <t>BetterVits</t>
        </is>
      </c>
      <c r="O11" t="inlineStr">
        <is>
          <t>Core capsule</t>
        </is>
      </c>
      <c r="P11" t="inlineStr">
        <is>
          <t>Free delivery</t>
        </is>
      </c>
      <c r="Q11" t="inlineStr">
        <is>
          <t>Pastel green on mint</t>
        </is>
      </c>
      <c r="R11" t="inlineStr">
        <is>
          <t>~servings</t>
        </is>
      </c>
    </row>
    <row r="12">
      <c r="A12" t="n">
        <v>10</v>
      </c>
      <c r="B12" t="inlineStr">
        <is>
          <t>InfiniWell</t>
        </is>
      </c>
      <c r="C12" t="inlineStr">
        <is>
          <t>Ashwagandha 'supports stress balance', 60 caps</t>
        </is>
      </c>
      <c r="D12" t="inlineStr">
        <is>
          <t>Capsule</t>
        </is>
      </c>
      <c r="E12" t="n">
        <v>60</v>
      </c>
      <c r="F12" t="n">
        <v>30</v>
      </c>
      <c r="G12" s="3" t="n">
        <v>29.95</v>
      </c>
      <c r="H12" s="3" t="n"/>
      <c r="I12" s="3">
        <f>IF(OR(F12="",G12=""),"",ROUND(G12/F12,2))</f>
        <v/>
      </c>
      <c r="K12" s="3">
        <f>IF(OR(J12="",I12=""),"",ROUND(I12/J12*1000,2))</f>
        <v/>
      </c>
      <c r="L12" t="n">
        <v>4.9</v>
      </c>
      <c r="M12" t="inlineStr">
        <is>
          <t>31</t>
        </is>
      </c>
      <c r="N12" t="inlineStr">
        <is>
          <t>InfiniWell</t>
        </is>
      </c>
      <c r="O12" t="inlineStr">
        <is>
          <t>Core capsule</t>
        </is>
      </c>
      <c r="P12" t="inlineStr">
        <is>
          <t>Stress &amp; mental clarity</t>
        </is>
      </c>
      <c r="Q12" t="inlineStr">
        <is>
          <t>Clear glass, purple icon, lifestyle photo</t>
        </is>
      </c>
      <c r="R12" t="inlineStr">
        <is>
          <t>~servings</t>
        </is>
      </c>
    </row>
    <row r="13">
      <c r="A13" t="n">
        <v>11</v>
      </c>
      <c r="B13" t="inlineStr">
        <is>
          <t>Tribe Organics</t>
        </is>
      </c>
      <c r="C13" t="inlineStr">
        <is>
          <t>Ashwagandha KSM-66, organic, 90 caps</t>
        </is>
      </c>
      <c r="D13" t="inlineStr">
        <is>
          <t>Capsule</t>
        </is>
      </c>
      <c r="E13" t="n">
        <v>90</v>
      </c>
      <c r="F13" t="n">
        <v>45</v>
      </c>
      <c r="G13" s="3" t="n">
        <v>38.99</v>
      </c>
      <c r="H13" s="3" t="n"/>
      <c r="I13" s="3">
        <f>IF(OR(F13="",G13=""),"",ROUND(G13/F13,2))</f>
        <v/>
      </c>
      <c r="K13" s="3">
        <f>IF(OR(J13="",I13=""),"",ROUND(I13/J13*1000,2))</f>
        <v/>
      </c>
      <c r="L13" t="n">
        <v>4.8</v>
      </c>
      <c r="M13" t="inlineStr"/>
      <c r="N13" t="inlineStr">
        <is>
          <t>Professional Supplement Center</t>
        </is>
      </c>
      <c r="O13" t="inlineStr">
        <is>
          <t>Core capsule</t>
        </is>
      </c>
      <c r="P13" t="inlineStr">
        <is>
          <t>Organic, 'prince of herbs'</t>
        </is>
      </c>
      <c r="Q13" t="inlineStr">
        <is>
          <t>Maroon jar, gold</t>
        </is>
      </c>
      <c r="R13" t="inlineStr">
        <is>
          <t>~2 caps/day</t>
        </is>
      </c>
    </row>
    <row r="14">
      <c r="A14" t="n">
        <v>12</v>
      </c>
      <c r="B14" t="inlineStr">
        <is>
          <t>SuperFeast</t>
        </is>
      </c>
      <c r="C14" t="inlineStr">
        <is>
          <t>Ashwagandha herbal extract, 90 caps</t>
        </is>
      </c>
      <c r="D14" t="inlineStr">
        <is>
          <t>Capsule</t>
        </is>
      </c>
      <c r="E14" t="n">
        <v>90</v>
      </c>
      <c r="F14" t="n">
        <v>45</v>
      </c>
      <c r="G14" s="3" t="n">
        <v>47</v>
      </c>
      <c r="H14" s="3" t="n"/>
      <c r="I14" s="3">
        <f>IF(OR(F14="",G14=""),"",ROUND(G14/F14,2))</f>
        <v/>
      </c>
      <c r="K14" s="3">
        <f>IF(OR(J14="",I14=""),"",ROUND(I14/J14*1000,2))</f>
        <v/>
      </c>
      <c r="L14" t="n">
        <v>4.8</v>
      </c>
      <c r="M14" t="inlineStr">
        <is>
          <t>141</t>
        </is>
      </c>
      <c r="N14" t="inlineStr">
        <is>
          <t>SuperFeast</t>
        </is>
      </c>
      <c r="O14" t="inlineStr">
        <is>
          <t>Premium</t>
        </is>
      </c>
      <c r="P14" t="inlineStr">
        <is>
          <t>Dual extract, Australian</t>
        </is>
      </c>
      <c r="Q14" t="inlineStr">
        <is>
          <t>Black glass, gold</t>
        </is>
      </c>
      <c r="R14" t="inlineStr">
        <is>
          <t>~2 caps/day</t>
        </is>
      </c>
    </row>
    <row r="15">
      <c r="A15" t="n">
        <v>13</v>
      </c>
      <c r="B15" t="inlineStr">
        <is>
          <t>Nootropics Depot</t>
        </is>
      </c>
      <c r="C15" t="inlineStr">
        <is>
          <t>KSM-66 Ashwagandha full spectrum, 90 caps</t>
        </is>
      </c>
      <c r="D15" t="inlineStr">
        <is>
          <t>Capsule</t>
        </is>
      </c>
      <c r="E15" t="n">
        <v>90</v>
      </c>
      <c r="F15" t="n">
        <v>90</v>
      </c>
      <c r="G15" s="3" t="n">
        <v>54.99</v>
      </c>
      <c r="H15" s="3" t="n"/>
      <c r="I15" s="3">
        <f>IF(OR(F15="",G15=""),"",ROUND(G15/F15,2))</f>
        <v/>
      </c>
      <c r="K15" s="3">
        <f>IF(OR(J15="",I15=""),"",ROUND(I15/J15*1000,2))</f>
        <v/>
      </c>
      <c r="L15" t="n">
        <v>4.7</v>
      </c>
      <c r="M15" t="inlineStr">
        <is>
          <t>18</t>
        </is>
      </c>
      <c r="N15" t="inlineStr">
        <is>
          <t>Nootropics Depot</t>
        </is>
      </c>
      <c r="O15" t="inlineStr">
        <is>
          <t>Premium</t>
        </is>
      </c>
      <c r="P15" t="inlineStr">
        <is>
          <t>Nootropic specialist</t>
        </is>
      </c>
      <c r="Q15" t="inlineStr">
        <is>
          <t>White tub, red geometric</t>
        </is>
      </c>
      <c r="R15" t="inlineStr">
        <is>
          <t>~1 cap/day</t>
        </is>
      </c>
    </row>
    <row r="16">
      <c r="A16" t="n">
        <v>14</v>
      </c>
      <c r="B16" t="inlineStr">
        <is>
          <t>Global Healing</t>
        </is>
      </c>
      <c r="C16" t="inlineStr">
        <is>
          <t>Microsomal ashwagandha (KSM-66 + CO2), 2 fl oz</t>
        </is>
      </c>
      <c r="D16" t="inlineStr">
        <is>
          <t>Liquid</t>
        </is>
      </c>
      <c r="E16" t="n">
        <v>60</v>
      </c>
      <c r="G16" s="3" t="n">
        <v>24.95</v>
      </c>
      <c r="H16" s="3" t="n"/>
      <c r="I16" s="3">
        <f>IF(OR(F16="",G16=""),"",ROUND(G16/F16,2))</f>
        <v/>
      </c>
      <c r="K16" s="3">
        <f>IF(OR(J16="",I16=""),"",ROUND(I16/J16*1000,2))</f>
        <v/>
      </c>
      <c r="M16" t="inlineStr"/>
      <c r="N16" t="inlineStr">
        <is>
          <t>Global Healing</t>
        </is>
      </c>
      <c r="O16" t="inlineStr">
        <is>
          <t>Other format</t>
        </is>
      </c>
      <c r="P16" t="inlineStr">
        <is>
          <t>Free gift w/ $75+</t>
        </is>
      </c>
      <c r="Q16" t="inlineStr">
        <is>
          <t>Dark green dropper</t>
        </is>
      </c>
      <c r="R16" t="inlineStr"/>
    </row>
    <row r="17">
      <c r="A17" t="n">
        <v>15</v>
      </c>
      <c r="B17" t="inlineStr">
        <is>
          <t>Vitasy</t>
        </is>
      </c>
      <c r="C17" t="inlineStr">
        <is>
          <t>Ashwagandha gummies (5 flavours), 60</t>
        </is>
      </c>
      <c r="D17" t="inlineStr">
        <is>
          <t>Gummy</t>
        </is>
      </c>
      <c r="E17" t="n">
        <v>60</v>
      </c>
      <c r="F17" t="n">
        <v>30</v>
      </c>
      <c r="G17" s="3" t="n">
        <v>34.99</v>
      </c>
      <c r="H17" s="3" t="n"/>
      <c r="I17" s="3">
        <f>IF(OR(F17="",G17=""),"",ROUND(G17/F17,2))</f>
        <v/>
      </c>
      <c r="K17" s="3">
        <f>IF(OR(J17="",I17=""),"",ROUND(I17/J17*1000,2))</f>
        <v/>
      </c>
      <c r="M17" t="inlineStr"/>
      <c r="N17" t="inlineStr">
        <is>
          <t>Vitasy</t>
        </is>
      </c>
      <c r="O17" t="inlineStr">
        <is>
          <t>Gummy</t>
        </is>
      </c>
      <c r="P17" t="inlineStr">
        <is>
          <t>Relax, restore, unwind; free shipping</t>
        </is>
      </c>
      <c r="Q17" t="inlineStr">
        <is>
          <t>Bright bottles (blue, red, pink, yellow)</t>
        </is>
      </c>
      <c r="R17" t="inlineStr">
        <is>
          <t>5 separate listings</t>
        </is>
      </c>
    </row>
    <row r="18">
      <c r="A18" t="n">
        <v>16</v>
      </c>
      <c r="B18" t="inlineStr">
        <is>
          <t>Goli</t>
        </is>
      </c>
      <c r="C18" t="inlineStr">
        <is>
          <t>Ashwagandha gummies, 60 (Target)</t>
        </is>
      </c>
      <c r="D18" t="inlineStr">
        <is>
          <t>Gummy</t>
        </is>
      </c>
      <c r="E18" t="n">
        <v>60</v>
      </c>
      <c r="F18" t="n">
        <v>30</v>
      </c>
      <c r="G18" s="3" t="n">
        <v>14.99</v>
      </c>
      <c r="H18" s="3" t="n"/>
      <c r="I18" s="3">
        <f>IF(OR(F18="",G18=""),"",ROUND(G18/F18,2))</f>
        <v/>
      </c>
      <c r="K18" s="3">
        <f>IF(OR(J18="",I18=""),"",ROUND(I18/J18*1000,2))</f>
        <v/>
      </c>
      <c r="L18" t="n">
        <v>4.6</v>
      </c>
      <c r="M18" t="inlineStr">
        <is>
          <t>1k+</t>
        </is>
      </c>
      <c r="N18" t="inlineStr">
        <is>
          <t>Target</t>
        </is>
      </c>
      <c r="O18" t="inlineStr">
        <is>
          <t>Gummy</t>
        </is>
      </c>
      <c r="P18" t="inlineStr">
        <is>
          <t>KSM-66, mass retail</t>
        </is>
      </c>
      <c r="Q18" t="inlineStr">
        <is>
          <t>Blue bottle</t>
        </is>
      </c>
      <c r="R18" t="inlineStr">
        <is>
          <t>Also listed at $17.99</t>
        </is>
      </c>
    </row>
    <row r="19">
      <c r="A19" t="n">
        <v>17</v>
      </c>
      <c r="B19" t="inlineStr">
        <is>
          <t>Erth Labs</t>
        </is>
      </c>
      <c r="C19" t="inlineStr">
        <is>
          <t>Adaptogenic superfood brew</t>
        </is>
      </c>
      <c r="D19" t="inlineStr">
        <is>
          <t>Powder</t>
        </is>
      </c>
      <c r="G19" s="3" t="n">
        <v>27</v>
      </c>
      <c r="H19" s="3" t="n"/>
      <c r="I19" s="3">
        <f>IF(OR(F19="",G19=""),"",ROUND(G19/F19,2))</f>
        <v/>
      </c>
      <c r="K19" s="3">
        <f>IF(OR(J19="",I19=""),"",ROUND(I19/J19*1000,2))</f>
        <v/>
      </c>
      <c r="M19" t="inlineStr"/>
      <c r="N19" t="inlineStr">
        <is>
          <t>Erth Labs</t>
        </is>
      </c>
      <c r="O19" t="inlineStr">
        <is>
          <t>Other format</t>
        </is>
      </c>
      <c r="P19" t="inlineStr">
        <is>
          <t>Coffee alternative</t>
        </is>
      </c>
      <c r="Q19" t="inlineStr">
        <is>
          <t>Kraft pouches, lifestyle</t>
        </is>
      </c>
      <c r="R19" t="inlineStr"/>
    </row>
    <row r="20">
      <c r="A20" t="n">
        <v>18</v>
      </c>
      <c r="B20" t="inlineStr">
        <is>
          <t>InfiniWell</t>
        </is>
      </c>
      <c r="C20" t="inlineStr">
        <is>
          <t>DHH-B Max mood support, 30 caps</t>
        </is>
      </c>
      <c r="D20" t="inlineStr">
        <is>
          <t>Capsule</t>
        </is>
      </c>
      <c r="E20" t="n">
        <v>30</v>
      </c>
      <c r="F20" t="n">
        <v>30</v>
      </c>
      <c r="G20" s="3" t="n">
        <v>109.95</v>
      </c>
      <c r="H20" s="3" t="n"/>
      <c r="I20" s="3">
        <f>IF(OR(F20="",G20=""),"",ROUND(G20/F20,2))</f>
        <v/>
      </c>
      <c r="K20" s="3">
        <f>IF(OR(J20="",I20=""),"",ROUND(I20/J20*1000,2))</f>
        <v/>
      </c>
      <c r="L20" t="n">
        <v>4.7</v>
      </c>
      <c r="M20" t="inlineStr">
        <is>
          <t>61</t>
        </is>
      </c>
      <c r="N20" t="inlineStr">
        <is>
          <t>InfiniWell</t>
        </is>
      </c>
      <c r="O20" t="inlineStr">
        <is>
          <t>Other format</t>
        </is>
      </c>
      <c r="P20" t="inlineStr">
        <is>
          <t>Not ashwagandha</t>
        </is>
      </c>
      <c r="Q20" t="inlineStr">
        <is>
          <t>Clear glass, purple</t>
        </is>
      </c>
      <c r="R20" t="inlineStr">
        <is>
          <t>Off-topic</t>
        </is>
      </c>
    </row>
    <row r="21">
      <c r="A21" t="n">
        <v>19</v>
      </c>
      <c r="B21" t="inlineStr">
        <is>
          <t>Noovit (Supliful)</t>
        </is>
      </c>
      <c r="C21" t="inlineStr">
        <is>
          <t>Ashwagandha Plus (KSM-66 600 mg), 60 caps</t>
        </is>
      </c>
      <c r="D21" t="inlineStr">
        <is>
          <t>Capsule</t>
        </is>
      </c>
      <c r="E21" t="n">
        <v>60</v>
      </c>
      <c r="F21" t="n">
        <v>30</v>
      </c>
      <c r="G21" s="3" t="n">
        <v>32</v>
      </c>
      <c r="H21" s="3" t="n"/>
      <c r="I21" s="3">
        <f>IF(OR(F21="",G21=""),"",ROUND(G21/F21,2))</f>
        <v/>
      </c>
      <c r="J21" t="n">
        <v>600</v>
      </c>
      <c r="K21" s="3">
        <f>IF(OR(J21="",I21=""),"",ROUND(I21/J21*1000,2))</f>
        <v/>
      </c>
      <c r="M21" t="inlineStr"/>
      <c r="N21" t="inlineStr">
        <is>
          <t>noovit.com</t>
        </is>
      </c>
      <c r="O21" t="inlineStr">
        <is>
          <t>Core capsule</t>
        </is>
      </c>
      <c r="P21" t="inlineStr">
        <is>
          <t>Evidence-graded: KSM-66 at the study dose</t>
        </is>
      </c>
      <c r="Q21" t="inlineStr">
        <is>
          <t>Label option B</t>
        </is>
      </c>
      <c r="R21" t="inlineStr">
        <is>
          <t>Same formula as Vitasy's three brands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3" customWidth="1" min="4" max="4"/>
    <col width="11" customWidth="1" min="5" max="5"/>
    <col width="14" customWidth="1" min="6" max="6"/>
    <col width="60" customWidth="1" min="7" max="7"/>
    <col width="60" customWidth="1" min="8" max="8"/>
  </cols>
  <sheetData>
    <row r="1">
      <c r="A1" s="2" t="inlineStr">
        <is>
          <t>Tier</t>
        </is>
      </c>
      <c r="B1" s="2" t="inlineStr">
        <is>
          <t>Listings</t>
        </is>
      </c>
      <c r="C1" s="2" t="inlineStr">
        <is>
          <t>Min price $</t>
        </is>
      </c>
      <c r="D1" s="2" t="inlineStr">
        <is>
          <t>Median price $</t>
        </is>
      </c>
      <c r="E1" s="2" t="inlineStr">
        <is>
          <t>Max price $</t>
        </is>
      </c>
      <c r="F1" s="2" t="inlineStr">
        <is>
          <t>Avg price/day $</t>
        </is>
      </c>
      <c r="G1" s="2" t="inlineStr">
        <is>
          <t>Who</t>
        </is>
      </c>
      <c r="H1" s="2" t="inlineStr">
        <is>
          <t>Implication for Noovit</t>
        </is>
      </c>
    </row>
    <row r="2">
      <c r="A2" t="inlineStr">
        <is>
          <t>Core capsule</t>
        </is>
      </c>
      <c r="B2">
        <f>COUNTIF('Ashwagandha competitors'!O$3:O$21,A2)</f>
        <v/>
      </c>
      <c r="C2" s="3">
        <f>_xlfn.MINIFS('Ashwagandha competitors'!G$3:G$21,'Ashwagandha competitors'!O$3:O$21,A2)</f>
        <v/>
      </c>
      <c r="D2" s="3">
        <f t="array" ref="D2">MEDIAN(IF(('Ashwagandha competitors'!O$3:O$21=A2)*('Ashwagandha competitors'!G$3:G$21&lt;&gt;""),'Ashwagandha competitors'!G$3:G$21))</f>
        <v/>
      </c>
      <c r="E2" s="3">
        <f>_xlfn.MAXIFS('Ashwagandha competitors'!G$3:G$21,'Ashwagandha competitors'!O$3:O$21,A2)</f>
        <v/>
      </c>
      <c r="F2" s="3">
        <f>IFERROR(ROUND(AVERAGEIFS('Ashwagandha competitors'!I$3:I$21,'Ashwagandha competitors'!O$3:O$21,A2),2),"")</f>
        <v/>
      </c>
      <c r="G2" t="inlineStr">
        <is>
          <t>Vitasy x4 (Cortex, Compass, Fernwood), Revive MD, Physician's Choice, Thorne, Brainstorm, BetterVits, InfiniWell, Tribe</t>
        </is>
      </c>
      <c r="H2" t="inlineStr">
        <is>
          <t>OUR TIER: $22–39, median ~$30. Vitasy sells our exact formula at $29.99</t>
        </is>
      </c>
    </row>
    <row r="3">
      <c r="A3" t="inlineStr">
        <is>
          <t>Premium</t>
        </is>
      </c>
      <c r="B3">
        <f>COUNTIF('Ashwagandha competitors'!O$3:O$21,A3)</f>
        <v/>
      </c>
      <c r="C3" s="3">
        <f>_xlfn.MINIFS('Ashwagandha competitors'!G$3:G$21,'Ashwagandha competitors'!O$3:O$21,A3)</f>
        <v/>
      </c>
      <c r="D3" s="3">
        <f t="array" ref="D3">MEDIAN(IF(('Ashwagandha competitors'!O$3:O$21=A3)*('Ashwagandha competitors'!G$3:G$21&lt;&gt;""),'Ashwagandha competitors'!G$3:G$21))</f>
        <v/>
      </c>
      <c r="E3" s="3">
        <f>_xlfn.MAXIFS('Ashwagandha competitors'!G$3:G$21,'Ashwagandha competitors'!O$3:O$21,A3)</f>
        <v/>
      </c>
      <c r="F3" s="3">
        <f>IFERROR(ROUND(AVERAGEIFS('Ashwagandha competitors'!I$3:I$21,'Ashwagandha competitors'!O$3:O$21,A3),2),"")</f>
        <v/>
      </c>
      <c r="G3" t="inlineStr">
        <is>
          <t>SuperFeast, Nootropics Depot</t>
        </is>
      </c>
      <c r="H3" t="inlineStr">
        <is>
          <t>$47–55 for 90 caps</t>
        </is>
      </c>
    </row>
    <row r="4">
      <c r="A4" t="inlineStr">
        <is>
          <t>Gummy</t>
        </is>
      </c>
      <c r="B4">
        <f>COUNTIF('Ashwagandha competitors'!O$3:O$21,A4)</f>
        <v/>
      </c>
      <c r="C4" s="3">
        <f>_xlfn.MINIFS('Ashwagandha competitors'!G$3:G$21,'Ashwagandha competitors'!O$3:O$21,A4)</f>
        <v/>
      </c>
      <c r="D4" s="3">
        <f t="array" ref="D4">MEDIAN(IF(('Ashwagandha competitors'!O$3:O$21=A4)*('Ashwagandha competitors'!G$3:G$21&lt;&gt;""),'Ashwagandha competitors'!G$3:G$21))</f>
        <v/>
      </c>
      <c r="E4" s="3">
        <f>_xlfn.MAXIFS('Ashwagandha competitors'!G$3:G$21,'Ashwagandha competitors'!O$3:O$21,A4)</f>
        <v/>
      </c>
      <c r="F4" s="3">
        <f>IFERROR(ROUND(AVERAGEIFS('Ashwagandha competitors'!I$3:I$21,'Ashwagandha competitors'!O$3:O$21,A4),2),"")</f>
        <v/>
      </c>
      <c r="G4" t="inlineStr">
        <is>
          <t>Vitasy (5 flavours), Goli</t>
        </is>
      </c>
      <c r="H4" t="inlineStr">
        <is>
          <t>Goli at $15–18 sets a low anchor</t>
        </is>
      </c>
    </row>
    <row r="5">
      <c r="A5" t="inlineStr">
        <is>
          <t>Other format</t>
        </is>
      </c>
      <c r="B5">
        <f>COUNTIF('Ashwagandha competitors'!O$3:O$21,A5)</f>
        <v/>
      </c>
      <c r="C5" s="3">
        <f>_xlfn.MINIFS('Ashwagandha competitors'!G$3:G$21,'Ashwagandha competitors'!O$3:O$21,A5)</f>
        <v/>
      </c>
      <c r="D5" s="3">
        <f t="array" ref="D5">MEDIAN(IF(('Ashwagandha competitors'!O$3:O$21=A5)*('Ashwagandha competitors'!G$3:G$21&lt;&gt;""),'Ashwagandha competitors'!G$3:G$21))</f>
        <v/>
      </c>
      <c r="E5" s="3">
        <f>_xlfn.MAXIFS('Ashwagandha competitors'!G$3:G$21,'Ashwagandha competitors'!O$3:O$21,A5)</f>
        <v/>
      </c>
      <c r="F5" s="3">
        <f>IFERROR(ROUND(AVERAGEIFS('Ashwagandha competitors'!I$3:I$21,'Ashwagandha competitors'!O$3:O$21,A5),2),"")</f>
        <v/>
      </c>
      <c r="G5" t="inlineStr">
        <is>
          <t>Global Healing liquid, Erth brew, off-topic</t>
        </is>
      </c>
      <c r="H5" t="inlineStr">
        <is>
          <t>Ignore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0" customWidth="1" min="8" max="8"/>
    <col width="12" customWidth="1" min="9" max="9"/>
    <col width="11" customWidth="1" min="10" max="10"/>
    <col width="10" customWidth="1" min="11" max="11"/>
    <col width="16" customWidth="1" min="12" max="12"/>
    <col width="12" customWidth="1" min="13" max="13"/>
  </cols>
  <sheetData>
    <row r="1">
      <c r="A1" s="4" t="inlineStr">
        <is>
          <t>Ashwagandha 60 caps via Supliful. Orange cells are inputs: change them and everything recalculates.</t>
        </is>
      </c>
    </row>
    <row r="3">
      <c r="A3" t="inlineStr">
        <is>
          <t>Landed cost per bottle, free plan $ (PLACEHOLDER: send Supliful's price)</t>
        </is>
      </c>
      <c r="B3" s="5" t="n">
        <v>11</v>
      </c>
    </row>
    <row r="4">
      <c r="A4" t="inlineStr">
        <is>
          <t>Landed cost per bottle, Pro plan $ (PLACEHOLDER)</t>
        </is>
      </c>
      <c r="B4" s="5" t="n">
        <v>8</v>
      </c>
    </row>
    <row r="5">
      <c r="A5" t="inlineStr">
        <is>
          <t>Extra bottle in same order $ (product only, PLACEHOLDER)</t>
        </is>
      </c>
      <c r="B5" s="5" t="n">
        <v>4</v>
      </c>
    </row>
    <row r="6">
      <c r="A6" t="inlineStr">
        <is>
          <t>Stripe fee %</t>
        </is>
      </c>
      <c r="B6" s="6" t="n">
        <v>0.029</v>
      </c>
    </row>
    <row r="7">
      <c r="A7" t="inlineStr">
        <is>
          <t>Stripe fixed fee per order $</t>
        </is>
      </c>
      <c r="B7" s="5" t="n">
        <v>0.3</v>
      </c>
    </row>
    <row r="8">
      <c r="A8" t="inlineStr">
        <is>
          <t>Ad cost to win a new customer $ (estimate)</t>
        </is>
      </c>
      <c r="B8" s="5" t="n">
        <v>18</v>
      </c>
    </row>
    <row r="9">
      <c r="A9" t="inlineStr">
        <is>
          <t>Supliful Pro monthly fee $</t>
        </is>
      </c>
      <c r="B9" s="5" t="n">
        <v>69</v>
      </c>
    </row>
    <row r="10">
      <c r="A10" t="inlineStr">
        <is>
          <t>Noovit KSM-66 mg/day</t>
        </is>
      </c>
      <c r="B10" s="8" t="n">
        <v>600</v>
      </c>
    </row>
    <row r="11">
      <c r="A11" s="4" t="inlineStr">
        <is>
          <t>Pro break-even (bottles per month)</t>
        </is>
      </c>
      <c r="B11">
        <f>ROUND(B9/(B3-B4),0)</f>
        <v/>
      </c>
    </row>
    <row r="13">
      <c r="A13" s="7" t="inlineStr">
        <is>
          <t>Offer</t>
        </is>
      </c>
      <c r="B13" s="7" t="inlineStr">
        <is>
          <t>Bottles in order</t>
        </is>
      </c>
      <c r="C13" s="7" t="inlineStr">
        <is>
          <t>Price per bottle $</t>
        </is>
      </c>
      <c r="D13" s="7" t="inlineStr">
        <is>
          <t>Order revenue $</t>
        </is>
      </c>
      <c r="E13" s="7" t="inlineStr">
        <is>
          <t>Landed cost, free $</t>
        </is>
      </c>
      <c r="F13" s="7" t="inlineStr">
        <is>
          <t>Stripe $</t>
        </is>
      </c>
      <c r="G13" s="7" t="inlineStr">
        <is>
          <t>Profit, free $</t>
        </is>
      </c>
      <c r="H13" s="7" t="inlineStr">
        <is>
          <t>Margin, free</t>
        </is>
      </c>
      <c r="I13" s="7" t="inlineStr">
        <is>
          <t>Landed cost, Pro $</t>
        </is>
      </c>
      <c r="J13" s="7" t="inlineStr">
        <is>
          <t>Profit, Pro $</t>
        </is>
      </c>
      <c r="K13" s="7" t="inlineStr">
        <is>
          <t>Margin, Pro</t>
        </is>
      </c>
      <c r="L13" s="7" t="inlineStr">
        <is>
          <t>Profit after ad cost (first order, free) $</t>
        </is>
      </c>
      <c r="M13" s="7" t="inlineStr">
        <is>
          <t>$ per 1,000 mg</t>
        </is>
      </c>
    </row>
    <row r="14">
      <c r="A14" t="inlineStr">
        <is>
          <t>One-time (match Vitasy)</t>
        </is>
      </c>
      <c r="B14" s="8" t="n">
        <v>1</v>
      </c>
      <c r="C14" s="5" t="n">
        <v>30</v>
      </c>
      <c r="D14" s="3">
        <f>B14*C14</f>
        <v/>
      </c>
      <c r="E14" s="3">
        <f>$B$3+(B14-1)*$B$5</f>
        <v/>
      </c>
      <c r="F14" s="3">
        <f>ROUND(D14*$B$6+$B$7,2)</f>
        <v/>
      </c>
      <c r="G14" s="3">
        <f>D14-E14-F14</f>
        <v/>
      </c>
      <c r="H14" s="9">
        <f>G14/D14</f>
        <v/>
      </c>
      <c r="I14" s="3">
        <f>$B$4+(B14-1)*$B$5</f>
        <v/>
      </c>
      <c r="J14" s="3">
        <f>D14-I14-F14</f>
        <v/>
      </c>
      <c r="K14" s="9">
        <f>J14/D14</f>
        <v/>
      </c>
      <c r="L14" s="3">
        <f>G14-$B$8</f>
        <v/>
      </c>
      <c r="M14" s="3">
        <f>ROUND(C14/30/$B$10*1000,2)</f>
        <v/>
      </c>
    </row>
    <row r="15">
      <c r="A15" t="inlineStr">
        <is>
          <t>One-time (suggested)</t>
        </is>
      </c>
      <c r="B15" s="8" t="n">
        <v>1</v>
      </c>
      <c r="C15" s="5" t="n">
        <v>32</v>
      </c>
      <c r="D15" s="3">
        <f>B15*C15</f>
        <v/>
      </c>
      <c r="E15" s="3">
        <f>$B$3+(B15-1)*$B$5</f>
        <v/>
      </c>
      <c r="F15" s="3">
        <f>ROUND(D15*$B$6+$B$7,2)</f>
        <v/>
      </c>
      <c r="G15" s="3">
        <f>D15-E15-F15</f>
        <v/>
      </c>
      <c r="H15" s="9">
        <f>G15/D15</f>
        <v/>
      </c>
      <c r="I15" s="3">
        <f>$B$4+(B15-1)*$B$5</f>
        <v/>
      </c>
      <c r="J15" s="3">
        <f>D15-I15-F15</f>
        <v/>
      </c>
      <c r="K15" s="9">
        <f>J15/D15</f>
        <v/>
      </c>
      <c r="L15" s="3">
        <f>G15-$B$8</f>
        <v/>
      </c>
      <c r="M15" s="3">
        <f>ROUND(C15/30/$B$10*1000,2)</f>
        <v/>
      </c>
    </row>
    <row r="16">
      <c r="A16" t="inlineStr">
        <is>
          <t>Catalog today</t>
        </is>
      </c>
      <c r="B16" s="8" t="n">
        <v>1</v>
      </c>
      <c r="C16" s="5" t="n">
        <v>35</v>
      </c>
      <c r="D16" s="3">
        <f>B16*C16</f>
        <v/>
      </c>
      <c r="E16" s="3">
        <f>$B$3+(B16-1)*$B$5</f>
        <v/>
      </c>
      <c r="F16" s="3">
        <f>ROUND(D16*$B$6+$B$7,2)</f>
        <v/>
      </c>
      <c r="G16" s="3">
        <f>D16-E16-F16</f>
        <v/>
      </c>
      <c r="H16" s="9">
        <f>G16/D16</f>
        <v/>
      </c>
      <c r="I16" s="3">
        <f>$B$4+(B16-1)*$B$5</f>
        <v/>
      </c>
      <c r="J16" s="3">
        <f>D16-I16-F16</f>
        <v/>
      </c>
      <c r="K16" s="9">
        <f>J16/D16</f>
        <v/>
      </c>
      <c r="L16" s="3">
        <f>G16-$B$8</f>
        <v/>
      </c>
      <c r="M16" s="3">
        <f>ROUND(C16/30/$B$10*1000,2)</f>
        <v/>
      </c>
    </row>
    <row r="17">
      <c r="A17" t="inlineStr">
        <is>
          <t>Subscribe</t>
        </is>
      </c>
      <c r="B17" s="8" t="n">
        <v>1</v>
      </c>
      <c r="C17" s="5" t="n">
        <v>27</v>
      </c>
      <c r="D17" s="3">
        <f>B17*C17</f>
        <v/>
      </c>
      <c r="E17" s="3">
        <f>$B$3+(B17-1)*$B$5</f>
        <v/>
      </c>
      <c r="F17" s="3">
        <f>ROUND(D17*$B$6+$B$7,2)</f>
        <v/>
      </c>
      <c r="G17" s="3">
        <f>D17-E17-F17</f>
        <v/>
      </c>
      <c r="H17" s="9">
        <f>G17/D17</f>
        <v/>
      </c>
      <c r="I17" s="3">
        <f>$B$4+(B17-1)*$B$5</f>
        <v/>
      </c>
      <c r="J17" s="3">
        <f>D17-I17-F17</f>
        <v/>
      </c>
      <c r="K17" s="9">
        <f>J17/D17</f>
        <v/>
      </c>
      <c r="L17" s="3">
        <f>G17-$B$8</f>
        <v/>
      </c>
      <c r="M17" s="3">
        <f>ROUND(C17/30/$B$10*1000,2)</f>
        <v/>
      </c>
    </row>
    <row r="18">
      <c r="A18" t="inlineStr">
        <is>
          <t>3-pack one-time</t>
        </is>
      </c>
      <c r="B18" s="8" t="n">
        <v>3</v>
      </c>
      <c r="C18" s="5" t="n">
        <v>28</v>
      </c>
      <c r="D18" s="3">
        <f>B18*C18</f>
        <v/>
      </c>
      <c r="E18" s="3">
        <f>$B$3+(B18-1)*$B$5</f>
        <v/>
      </c>
      <c r="F18" s="3">
        <f>ROUND(D18*$B$6+$B$7,2)</f>
        <v/>
      </c>
      <c r="G18" s="3">
        <f>D18-E18-F18</f>
        <v/>
      </c>
      <c r="H18" s="9">
        <f>G18/D18</f>
        <v/>
      </c>
      <c r="I18" s="3">
        <f>$B$4+(B18-1)*$B$5</f>
        <v/>
      </c>
      <c r="J18" s="3">
        <f>D18-I18-F18</f>
        <v/>
      </c>
      <c r="K18" s="9">
        <f>J18/D18</f>
        <v/>
      </c>
      <c r="L18" s="3">
        <f>G18-$B$8</f>
        <v/>
      </c>
      <c r="M18" s="3">
        <f>ROUND(C18/30/$B$10*1000,2)</f>
        <v/>
      </c>
    </row>
    <row r="19">
      <c r="A19" t="inlineStr">
        <is>
          <t>6-pack one-time</t>
        </is>
      </c>
      <c r="B19" s="8" t="n">
        <v>6</v>
      </c>
      <c r="C19" s="5" t="n">
        <v>26</v>
      </c>
      <c r="D19" s="3">
        <f>B19*C19</f>
        <v/>
      </c>
      <c r="E19" s="3">
        <f>$B$3+(B19-1)*$B$5</f>
        <v/>
      </c>
      <c r="F19" s="3">
        <f>ROUND(D19*$B$6+$B$7,2)</f>
        <v/>
      </c>
      <c r="G19" s="3">
        <f>D19-E19-F19</f>
        <v/>
      </c>
      <c r="H19" s="9">
        <f>G19/D19</f>
        <v/>
      </c>
      <c r="I19" s="3">
        <f>$B$4+(B19-1)*$B$5</f>
        <v/>
      </c>
      <c r="J19" s="3">
        <f>D19-I19-F19</f>
        <v/>
      </c>
      <c r="K19" s="9">
        <f>J19/D19</f>
        <v/>
      </c>
      <c r="L19" s="3">
        <f>G19-$B$8</f>
        <v/>
      </c>
      <c r="M19" s="3">
        <f>ROUND(C19/30/$B$10*1000,2)</f>
        <v/>
      </c>
    </row>
    <row r="22">
      <c r="A22" s="4" t="inlineStr">
        <is>
          <t>Per-mg comparison: price per bottle Noovit would need to match each competitor's $ per 1,000 mg (at B10 mg/day, 30 days per bottle)</t>
        </is>
      </c>
    </row>
    <row r="23">
      <c r="A23" s="11" t="inlineStr">
        <is>
          <t>Competitor</t>
        </is>
      </c>
      <c r="B23" s="11" t="inlineStr">
        <is>
          <t>Their mg/day</t>
        </is>
      </c>
      <c r="C23" s="11" t="inlineStr">
        <is>
          <t>Their price/day $</t>
        </is>
      </c>
      <c r="D23" s="11" t="inlineStr">
        <is>
          <t>Their $ per 1,000 mg</t>
        </is>
      </c>
      <c r="E23" s="11" t="inlineStr">
        <is>
          <t>Noovit price to match $</t>
        </is>
      </c>
    </row>
    <row r="24">
      <c r="A24">
        <f>'Ashwagandha competitors'!B3&amp;" – "&amp;'Ashwagandha competitors'!C3</f>
        <v/>
      </c>
      <c r="B24">
        <f>'Ashwagandha competitors'!J3</f>
        <v/>
      </c>
      <c r="C24" s="3">
        <f>'Ashwagandha competitors'!I3</f>
        <v/>
      </c>
      <c r="D24" s="3">
        <f>'Ashwagandha competitors'!K3</f>
        <v/>
      </c>
      <c r="E24" s="3">
        <f>ROUND(D24/1000*$B$10*30,2)</f>
        <v/>
      </c>
    </row>
    <row r="25">
      <c r="A25">
        <f>'Ashwagandha competitors'!B4&amp;" – "&amp;'Ashwagandha competitors'!C4</f>
        <v/>
      </c>
      <c r="B25">
        <f>'Ashwagandha competitors'!J4</f>
        <v/>
      </c>
      <c r="C25" s="3">
        <f>'Ashwagandha competitors'!I4</f>
        <v/>
      </c>
      <c r="D25" s="3">
        <f>'Ashwagandha competitors'!K4</f>
        <v/>
      </c>
      <c r="E25" s="3">
        <f>ROUND(D25/1000*$B$10*30,2)</f>
        <v/>
      </c>
    </row>
    <row r="26">
      <c r="A26">
        <f>'Ashwagandha competitors'!B5&amp;" – "&amp;'Ashwagandha competitors'!C5</f>
        <v/>
      </c>
      <c r="B26">
        <f>'Ashwagandha competitors'!J5</f>
        <v/>
      </c>
      <c r="C26" s="3">
        <f>'Ashwagandha competitors'!I5</f>
        <v/>
      </c>
      <c r="D26" s="3">
        <f>'Ashwagandha competitors'!K5</f>
        <v/>
      </c>
      <c r="E26" s="3">
        <f>ROUND(D26/1000*$B$10*30,2)</f>
        <v/>
      </c>
    </row>
    <row r="27">
      <c r="A27">
        <f>'Ashwagandha competitors'!B8&amp;" – "&amp;'Ashwagandha competitors'!C8</f>
        <v/>
      </c>
      <c r="B27">
        <f>'Ashwagandha competitors'!J8</f>
        <v/>
      </c>
      <c r="C27" s="3">
        <f>'Ashwagandha competitors'!I8</f>
        <v/>
      </c>
      <c r="D27" s="3">
        <f>'Ashwagandha competitors'!K8</f>
        <v/>
      </c>
      <c r="E27" s="3">
        <f>ROUND(D27/1000*$B$10*30,2)</f>
        <v/>
      </c>
    </row>
    <row r="29">
      <c r="A29" s="10" t="inlineStr">
        <is>
          <t>Notes</t>
        </is>
      </c>
    </row>
    <row r="30">
      <c r="A30" s="1" t="inlineStr">
        <is>
          <t>COST IS A PLACEHOLDER: Supliful's page hides the price.</t>
        </is>
      </c>
    </row>
    <row r="31">
      <c r="A31" s="1" t="inlineStr">
        <is>
          <t>Vitasy sells the SAME Supliful Ashwagandha Plus under three brands (Cortex, Compass, Fernwood) at $29.99 with free shipping, plus 5 gummy listings: ~10 of 22 ads.</t>
        </is>
      </c>
    </row>
    <row r="32">
      <c r="A32" s="1" t="inlineStr">
        <is>
          <t>Plain KSM-66 competitors: Revive MD $26.99, Physician's Choice $29.97 (1,000 mg), Tribe Organics $38.99 (90 caps). Thorne $22 is a different extract.</t>
        </is>
      </c>
    </row>
    <row r="33">
      <c r="A33" s="1" t="inlineStr">
        <is>
          <t>Lower price band than turmeric or lion's mane: margin at $30 is ~59% on an $11 placeholder cost.</t>
        </is>
      </c>
    </row>
    <row r="34">
      <c r="A34" s="1" t="inlineStr">
        <is>
          <t>Competitor prices from Google Shopping on 28 Oct 2026; they change often.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2026-10-28T02:46:15Z</dcterms:created>
  <dcterms:modified xsi:type="dcterms:W3CDTF">2026-10-28T02:46:15Z</dcterms:modified>
</cp:coreProperties>
</file>