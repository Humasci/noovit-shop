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rmeric competitors" sheetId="1" state="visible" r:id="rId1"/>
    <sheet name="Price tiers" sheetId="2" state="visible" r:id="rId2"/>
    <sheet name="Profit calcula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5">
    <font>
      <name val="Calibri"/>
      <family val="2"/>
      <color theme="1"/>
      <sz val="11"/>
      <scheme val="minor"/>
    </font>
    <font>
      <i val="1"/>
      <color rgb="005B6472"/>
    </font>
    <font>
      <b val="1"/>
      <color rgb="00FFFFFF"/>
    </font>
    <font>
      <b val="1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FF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  <xf numFmtId="0" fontId="3" fillId="0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2" fillId="2" borderId="0" applyAlignment="1" pivotButton="0" quotePrefix="0" xfId="0">
      <alignment wrapText="1"/>
    </xf>
    <xf numFmtId="0" fontId="0" fillId="3" borderId="0" pivotButton="0" quotePrefix="0" xfId="0"/>
    <xf numFmtId="9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8" customWidth="1" min="8" max="8"/>
    <col width="10" customWidth="1" min="9" max="9"/>
    <col width="7" customWidth="1" min="10" max="10"/>
    <col width="8" customWidth="1" min="11" max="11"/>
    <col width="18" customWidth="1" min="12" max="12"/>
    <col width="10" customWidth="1" min="13" max="13"/>
    <col width="38" customWidth="1" min="14" max="14"/>
    <col width="26" customWidth="1" min="15" max="15"/>
    <col width="22" customWidth="1" min="16" max="16"/>
  </cols>
  <sheetData>
    <row r="1">
      <c r="A1" s="1" t="inlineStr">
        <is>
          <t>Google Shopping, 'turmeric tablets', Denver CO, 28 Oct 2026 (sponsored carousel). Servings/day marked ~ are assumed.</t>
        </is>
      </c>
    </row>
    <row r="2">
      <c r="A2" s="2" t="inlineStr">
        <is>
          <t>#</t>
        </is>
      </c>
      <c r="B2" s="2" t="inlineStr">
        <is>
          <t>Brand</t>
        </is>
      </c>
      <c r="C2" s="2" t="inlineStr">
        <is>
          <t>Product</t>
        </is>
      </c>
      <c r="D2" s="2" t="inlineStr">
        <is>
          <t>Format</t>
        </is>
      </c>
      <c r="E2" s="2" t="inlineStr">
        <is>
          <t>Count</t>
        </is>
      </c>
      <c r="F2" s="2" t="inlineStr">
        <is>
          <t>Servings (days)</t>
        </is>
      </c>
      <c r="G2" s="2" t="inlineStr">
        <is>
          <t>Price $</t>
        </is>
      </c>
      <c r="H2" s="2" t="inlineStr">
        <is>
          <t>Was $</t>
        </is>
      </c>
      <c r="I2" s="2" t="inlineStr">
        <is>
          <t>Price per day $</t>
        </is>
      </c>
      <c r="J2" s="2" t="inlineStr">
        <is>
          <t>Rating</t>
        </is>
      </c>
      <c r="K2" s="2" t="inlineStr">
        <is>
          <t>Reviews</t>
        </is>
      </c>
      <c r="L2" s="2" t="inlineStr">
        <is>
          <t>Seller</t>
        </is>
      </c>
      <c r="M2" s="2" t="inlineStr">
        <is>
          <t>Tier</t>
        </is>
      </c>
      <c r="N2" s="2" t="inlineStr">
        <is>
          <t>Lead angle / badges</t>
        </is>
      </c>
      <c r="O2" s="2" t="inlineStr">
        <is>
          <t>Look</t>
        </is>
      </c>
      <c r="P2" s="2" t="inlineStr">
        <is>
          <t>Notes</t>
        </is>
      </c>
    </row>
    <row r="3">
      <c r="A3" t="n">
        <v>1</v>
      </c>
      <c r="B3" t="inlineStr">
        <is>
          <t>Swanson</t>
        </is>
      </c>
      <c r="C3" t="inlineStr">
        <is>
          <t>Full Spectrum Turmeric 720 mg</t>
        </is>
      </c>
      <c r="D3" t="inlineStr">
        <is>
          <t>Capsule</t>
        </is>
      </c>
      <c r="E3" t="n">
        <v>30</v>
      </c>
      <c r="F3" t="n">
        <v>30</v>
      </c>
      <c r="G3" s="3" t="n">
        <v>5.99</v>
      </c>
      <c r="H3" s="3" t="n"/>
      <c r="I3" s="3">
        <f>IF(F3="","",ROUND(G3/F3,2))</f>
        <v/>
      </c>
      <c r="J3" t="n">
        <v>4.8</v>
      </c>
      <c r="K3" t="inlineStr">
        <is>
          <t>3k+</t>
        </is>
      </c>
      <c r="L3" t="inlineStr">
        <is>
          <t>Swanson</t>
        </is>
      </c>
      <c r="M3" t="inlineStr">
        <is>
          <t>Value</t>
        </is>
      </c>
      <c r="N3" t="inlineStr">
        <is>
          <t>Whole root, joint &amp; mobility</t>
        </is>
      </c>
      <c r="O3" t="inlineStr">
        <is>
          <t>Green, busy</t>
        </is>
      </c>
      <c r="P3" t="inlineStr"/>
    </row>
    <row r="4">
      <c r="A4" t="n">
        <v>2</v>
      </c>
      <c r="B4" t="inlineStr">
        <is>
          <t>ProHealth</t>
        </is>
      </c>
      <c r="C4" t="inlineStr">
        <is>
          <t>Optimized Curcumin Body &amp; Joint</t>
        </is>
      </c>
      <c r="D4" t="inlineStr">
        <is>
          <t>Capsule</t>
        </is>
      </c>
      <c r="E4" t="n">
        <v>60</v>
      </c>
      <c r="F4" t="n">
        <v>60</v>
      </c>
      <c r="G4" s="3" t="n">
        <v>10.2</v>
      </c>
      <c r="H4" s="3" t="n">
        <v>25</v>
      </c>
      <c r="I4" s="3">
        <f>IF(F4="","",ROUND(G4/F4,2))</f>
        <v/>
      </c>
      <c r="J4" t="n">
        <v>4.6</v>
      </c>
      <c r="K4" t="inlineStr">
        <is>
          <t>77</t>
        </is>
      </c>
      <c r="L4" t="inlineStr">
        <is>
          <t>ProHealth</t>
        </is>
      </c>
      <c r="M4" t="inlineStr">
        <is>
          <t>Value</t>
        </is>
      </c>
      <c r="N4" t="inlineStr">
        <is>
          <t>59% OFF</t>
        </is>
      </c>
      <c r="O4" t="inlineStr">
        <is>
          <t>Navy + stripe</t>
        </is>
      </c>
      <c r="P4" t="inlineStr">
        <is>
          <t>~servings</t>
        </is>
      </c>
    </row>
    <row r="5">
      <c r="A5" t="n">
        <v>3</v>
      </c>
      <c r="B5" t="inlineStr">
        <is>
          <t>California Gold Nutrition</t>
        </is>
      </c>
      <c r="C5" t="inlineStr">
        <is>
          <t>Curcumin 95</t>
        </is>
      </c>
      <c r="D5" t="inlineStr">
        <is>
          <t>Capsule</t>
        </is>
      </c>
      <c r="E5" t="n">
        <v>30</v>
      </c>
      <c r="F5" t="n">
        <v>30</v>
      </c>
      <c r="G5" s="3" t="n">
        <v>10.27</v>
      </c>
      <c r="H5" s="3" t="n"/>
      <c r="I5" s="3">
        <f>IF(F5="","",ROUND(G5/F5,2))</f>
        <v/>
      </c>
      <c r="J5" t="n">
        <v>4.8</v>
      </c>
      <c r="K5" t="inlineStr">
        <is>
          <t>1k+</t>
        </is>
      </c>
      <c r="L5" t="inlineStr">
        <is>
          <t>iHerb</t>
        </is>
      </c>
      <c r="M5" t="inlineStr">
        <is>
          <t>Value</t>
        </is>
      </c>
      <c r="N5" t="inlineStr">
        <is>
          <t>95% curcuminoids</t>
        </is>
      </c>
      <c r="O5" t="inlineStr">
        <is>
          <t>White/gold</t>
        </is>
      </c>
      <c r="P5" t="inlineStr"/>
    </row>
    <row r="6">
      <c r="A6" t="n">
        <v>4</v>
      </c>
      <c r="B6" t="inlineStr">
        <is>
          <t>Swanson</t>
        </is>
      </c>
      <c r="C6" t="inlineStr">
        <is>
          <t>Turmeric &amp; Black Pepper</t>
        </is>
      </c>
      <c r="D6" t="inlineStr">
        <is>
          <t>Capsule</t>
        </is>
      </c>
      <c r="E6" t="n">
        <v>90</v>
      </c>
      <c r="F6" t="n">
        <v>90</v>
      </c>
      <c r="G6" s="3" t="n">
        <v>13.49</v>
      </c>
      <c r="H6" s="3" t="n"/>
      <c r="I6" s="3">
        <f>IF(F6="","",ROUND(G6/F6,2))</f>
        <v/>
      </c>
      <c r="J6" t="n">
        <v>4.8</v>
      </c>
      <c r="K6" t="inlineStr"/>
      <c r="L6" t="inlineStr">
        <is>
          <t>Swanson</t>
        </is>
      </c>
      <c r="M6" t="inlineStr">
        <is>
          <t>Value</t>
        </is>
      </c>
      <c r="N6" t="inlineStr">
        <is>
          <t>Black pepper</t>
        </is>
      </c>
      <c r="O6" t="inlineStr">
        <is>
          <t>Green</t>
        </is>
      </c>
      <c r="P6" t="inlineStr">
        <is>
          <t>~servings</t>
        </is>
      </c>
    </row>
    <row r="7">
      <c r="A7" t="n">
        <v>5</v>
      </c>
      <c r="B7" t="inlineStr">
        <is>
          <t>Nature Made</t>
        </is>
      </c>
      <c r="C7" t="inlineStr">
        <is>
          <t>Turmeric 500 mg</t>
        </is>
      </c>
      <c r="D7" t="inlineStr">
        <is>
          <t>Capsule</t>
        </is>
      </c>
      <c r="E7" t="n">
        <v>60</v>
      </c>
      <c r="F7" t="n">
        <v>60</v>
      </c>
      <c r="G7" s="3" t="n">
        <v>13.99</v>
      </c>
      <c r="H7" s="3" t="n"/>
      <c r="I7" s="3">
        <f>IF(F7="","",ROUND(G7/F7,2))</f>
        <v/>
      </c>
      <c r="J7" t="n">
        <v>4.7</v>
      </c>
      <c r="K7" t="inlineStr">
        <is>
          <t>906</t>
        </is>
      </c>
      <c r="L7" t="inlineStr">
        <is>
          <t>Nature Made</t>
        </is>
      </c>
      <c r="M7" t="inlineStr">
        <is>
          <t>Value</t>
        </is>
      </c>
      <c r="N7" t="inlineStr">
        <is>
          <t>USP verified, pharmacist recommended</t>
        </is>
      </c>
      <c r="O7" t="inlineStr">
        <is>
          <t>Yellow/green, busy</t>
        </is>
      </c>
      <c r="P7" t="inlineStr">
        <is>
          <t>~servings</t>
        </is>
      </c>
    </row>
    <row r="8">
      <c r="A8" t="n">
        <v>6</v>
      </c>
      <c r="B8" t="inlineStr">
        <is>
          <t>Nutrition Geeks</t>
        </is>
      </c>
      <c r="C8" t="inlineStr">
        <is>
          <t>Turmeric Tablets 2000 mg</t>
        </is>
      </c>
      <c r="D8" t="inlineStr">
        <is>
          <t>Tablet (pouch)</t>
        </is>
      </c>
      <c r="E8" t="n">
        <v>120</v>
      </c>
      <c r="F8" t="n">
        <v>120</v>
      </c>
      <c r="G8" s="3" t="n">
        <v>14.05</v>
      </c>
      <c r="H8" s="3" t="n">
        <v>20</v>
      </c>
      <c r="I8" s="3">
        <f>IF(F8="","",ROUND(G8/F8,2))</f>
        <v/>
      </c>
      <c r="J8" t="n">
        <v>4.6</v>
      </c>
      <c r="K8" t="inlineStr">
        <is>
          <t>4k+</t>
        </is>
      </c>
      <c r="L8" t="inlineStr">
        <is>
          <t>GNMart (reseller)</t>
        </is>
      </c>
      <c r="M8" t="inlineStr">
        <is>
          <t>Value</t>
        </is>
      </c>
      <c r="N8" t="inlineStr">
        <is>
          <t>Made in UK, 2000 mg, SALE</t>
        </is>
      </c>
      <c r="O8" t="inlineStr">
        <is>
          <t>Yellow/teal pouch</t>
        </is>
      </c>
      <c r="P8" t="inlineStr">
        <is>
          <t>~servings</t>
        </is>
      </c>
    </row>
    <row r="9">
      <c r="A9" t="n">
        <v>7</v>
      </c>
      <c r="B9" t="inlineStr">
        <is>
          <t>Life Extension</t>
        </is>
      </c>
      <c r="C9" t="inlineStr">
        <is>
          <t>Curcumin Elite</t>
        </is>
      </c>
      <c r="D9" t="inlineStr">
        <is>
          <t>Capsule</t>
        </is>
      </c>
      <c r="E9" t="n">
        <v>30</v>
      </c>
      <c r="F9" t="n">
        <v>30</v>
      </c>
      <c r="G9" s="3" t="n">
        <v>14.25</v>
      </c>
      <c r="H9" s="3" t="n"/>
      <c r="I9" s="3">
        <f>IF(F9="","",ROUND(G9/F9,2))</f>
        <v/>
      </c>
      <c r="J9" t="n">
        <v>4.8</v>
      </c>
      <c r="K9" t="inlineStr">
        <is>
          <t>3k+</t>
        </is>
      </c>
      <c r="L9" t="inlineStr">
        <is>
          <t>Life Extension</t>
        </is>
      </c>
      <c r="M9" t="inlineStr">
        <is>
          <t>Value</t>
        </is>
      </c>
      <c r="N9" t="inlineStr">
        <is>
          <t>Up to 45.5x bioavailability</t>
        </is>
      </c>
      <c r="O9" t="inlineStr">
        <is>
          <t>Blue</t>
        </is>
      </c>
      <c r="P9" t="inlineStr"/>
    </row>
    <row r="10">
      <c r="A10" t="n">
        <v>8</v>
      </c>
      <c r="B10" t="inlineStr">
        <is>
          <t>NatureWise</t>
        </is>
      </c>
      <c r="C10" t="inlineStr">
        <is>
          <t>Organic Turmeric Curcumin + Ginger</t>
        </is>
      </c>
      <c r="D10" t="inlineStr">
        <is>
          <t>Capsule</t>
        </is>
      </c>
      <c r="E10" t="n">
        <v>90</v>
      </c>
      <c r="F10" t="n">
        <v>30</v>
      </c>
      <c r="G10" s="3" t="n">
        <v>15.44</v>
      </c>
      <c r="H10" s="3" t="n"/>
      <c r="I10" s="3">
        <f>IF(F10="","",ROUND(G10/F10,2))</f>
        <v/>
      </c>
      <c r="J10" t="n">
        <v>4.7</v>
      </c>
      <c r="K10" t="inlineStr">
        <is>
          <t>9k+</t>
        </is>
      </c>
      <c r="L10" t="inlineStr">
        <is>
          <t>iHerb</t>
        </is>
      </c>
      <c r="M10" t="inlineStr">
        <is>
          <t>Value</t>
        </is>
      </c>
      <c r="N10" t="inlineStr">
        <is>
          <t>Organic, 2,250 mg/serving</t>
        </is>
      </c>
      <c r="O10" t="inlineStr">
        <is>
          <t>Red/cream</t>
        </is>
      </c>
      <c r="P10" t="inlineStr"/>
    </row>
    <row r="11">
      <c r="A11" t="n">
        <v>9</v>
      </c>
      <c r="B11" t="inlineStr">
        <is>
          <t>NOW</t>
        </is>
      </c>
      <c r="C11" t="inlineStr">
        <is>
          <t>Turmeric Curcumin</t>
        </is>
      </c>
      <c r="D11" t="inlineStr">
        <is>
          <t>Capsule</t>
        </is>
      </c>
      <c r="E11" t="n">
        <v>60</v>
      </c>
      <c r="F11" t="n">
        <v>45</v>
      </c>
      <c r="G11" s="3" t="n">
        <v>17.14</v>
      </c>
      <c r="H11" s="3" t="n"/>
      <c r="I11" s="3">
        <f>IF(F11="","",ROUND(G11/F11,2))</f>
        <v/>
      </c>
      <c r="J11" t="n">
        <v>4.8</v>
      </c>
      <c r="K11" t="inlineStr">
        <is>
          <t>5k+</t>
        </is>
      </c>
      <c r="L11" t="inlineStr">
        <is>
          <t>iHerb</t>
        </is>
      </c>
      <c r="M11" t="inlineStr">
        <is>
          <t>Value</t>
        </is>
      </c>
      <c r="N11" t="inlineStr">
        <is>
          <t>95% curcuminoids</t>
        </is>
      </c>
      <c r="O11" t="inlineStr">
        <is>
          <t>Orange/green</t>
        </is>
      </c>
      <c r="P11" t="inlineStr">
        <is>
          <t>~servings</t>
        </is>
      </c>
    </row>
    <row r="12">
      <c r="A12" t="n">
        <v>10</v>
      </c>
      <c r="B12" t="inlineStr">
        <is>
          <t>Future Kind</t>
        </is>
      </c>
      <c r="C12" t="inlineStr">
        <is>
          <t>Vegan Organic Turmeric</t>
        </is>
      </c>
      <c r="D12" t="inlineStr">
        <is>
          <t>Capsule</t>
        </is>
      </c>
      <c r="E12" t="n">
        <v>60</v>
      </c>
      <c r="F12" t="n">
        <v>30</v>
      </c>
      <c r="G12" s="3" t="n">
        <v>19</v>
      </c>
      <c r="H12" s="3" t="n"/>
      <c r="I12" s="3">
        <f>IF(F12="","",ROUND(G12/F12,2))</f>
        <v/>
      </c>
      <c r="J12" t="n">
        <v>4.4</v>
      </c>
      <c r="K12" t="inlineStr">
        <is>
          <t>67</t>
        </is>
      </c>
      <c r="L12" t="inlineStr">
        <is>
          <t>Future Kind</t>
        </is>
      </c>
      <c r="M12" t="inlineStr">
        <is>
          <t>Mid</t>
        </is>
      </c>
      <c r="N12" t="inlineStr">
        <is>
          <t>#1 vegan inflammation (claim-heavy title)</t>
        </is>
      </c>
      <c r="O12" t="inlineStr">
        <is>
          <t>Amber glass, cream label</t>
        </is>
      </c>
      <c r="P12" t="inlineStr"/>
    </row>
    <row r="13">
      <c r="A13" t="n">
        <v>11</v>
      </c>
      <c r="B13" t="inlineStr">
        <is>
          <t>Global Healing</t>
        </is>
      </c>
      <c r="C13" t="inlineStr">
        <is>
          <t>Turmeric liquid 2 fl oz</t>
        </is>
      </c>
      <c r="D13" t="inlineStr">
        <is>
          <t>Liquid</t>
        </is>
      </c>
      <c r="G13" s="3" t="n">
        <v>24.95</v>
      </c>
      <c r="H13" s="3" t="n"/>
      <c r="I13" s="3">
        <f>IF(F13="","",ROUND(G13/F13,2))</f>
        <v/>
      </c>
      <c r="J13" t="n">
        <v>4.7</v>
      </c>
      <c r="K13" t="inlineStr">
        <is>
          <t>1k+</t>
        </is>
      </c>
      <c r="L13" t="inlineStr">
        <is>
          <t>Global Healing</t>
        </is>
      </c>
      <c r="M13" t="inlineStr">
        <is>
          <t>Mid</t>
        </is>
      </c>
      <c r="N13" t="inlineStr">
        <is>
          <t>Free gift w/ $75+</t>
        </is>
      </c>
      <c r="O13" t="inlineStr">
        <is>
          <t>Amber dropper</t>
        </is>
      </c>
      <c r="P13" t="inlineStr"/>
    </row>
    <row r="14">
      <c r="A14" t="n">
        <v>12</v>
      </c>
      <c r="B14" t="inlineStr">
        <is>
          <t>Humann</t>
        </is>
      </c>
      <c r="C14" t="inlineStr">
        <is>
          <t>Turmeric Chews</t>
        </is>
      </c>
      <c r="D14" t="inlineStr">
        <is>
          <t>Chew</t>
        </is>
      </c>
      <c r="E14" t="n">
        <v>30</v>
      </c>
      <c r="F14" t="n">
        <v>30</v>
      </c>
      <c r="G14" s="3" t="n">
        <v>26.95</v>
      </c>
      <c r="H14" s="3" t="n"/>
      <c r="I14" s="3">
        <f>IF(F14="","",ROUND(G14/F14,2))</f>
        <v/>
      </c>
      <c r="J14" t="n">
        <v>4.3</v>
      </c>
      <c r="K14" t="inlineStr">
        <is>
          <t>821</t>
        </is>
      </c>
      <c r="L14" t="inlineStr">
        <is>
          <t>Humann</t>
        </is>
      </c>
      <c r="M14" t="inlineStr">
        <is>
          <t>Mid</t>
        </is>
      </c>
      <c r="N14" t="inlineStr">
        <is>
          <t>90-day returns</t>
        </is>
      </c>
      <c r="O14" t="inlineStr">
        <is>
          <t>Red pouch</t>
        </is>
      </c>
      <c r="P14" t="inlineStr"/>
    </row>
    <row r="15">
      <c r="A15" t="n">
        <v>13</v>
      </c>
      <c r="B15" t="inlineStr">
        <is>
          <t>Micro Ingredients</t>
        </is>
      </c>
      <c r="C15" t="inlineStr">
        <is>
          <t>Turmeric 1000 mg</t>
        </is>
      </c>
      <c r="D15" t="inlineStr">
        <is>
          <t>Capsule</t>
        </is>
      </c>
      <c r="E15" t="n">
        <v>120</v>
      </c>
      <c r="F15" t="n">
        <v>90</v>
      </c>
      <c r="G15" s="3" t="n">
        <v>26.95</v>
      </c>
      <c r="H15" s="3" t="n"/>
      <c r="I15" s="3">
        <f>IF(F15="","",ROUND(G15/F15,2))</f>
        <v/>
      </c>
      <c r="K15" t="inlineStr"/>
      <c r="L15" t="inlineStr">
        <is>
          <t>Micro Ingredients</t>
        </is>
      </c>
      <c r="M15" t="inlineStr">
        <is>
          <t>Mid</t>
        </is>
      </c>
      <c r="N15" t="inlineStr">
        <is>
          <t>95% curcumin</t>
        </is>
      </c>
      <c r="O15" t="inlineStr">
        <is>
          <t>White/orange</t>
        </is>
      </c>
      <c r="P15" t="inlineStr">
        <is>
          <t>~servings</t>
        </is>
      </c>
    </row>
    <row r="16">
      <c r="A16" t="n">
        <v>14</v>
      </c>
      <c r="B16" t="inlineStr">
        <is>
          <t>Momentous</t>
        </is>
      </c>
      <c r="C16" t="inlineStr">
        <is>
          <t>Turmeric</t>
        </is>
      </c>
      <c r="D16" t="inlineStr">
        <is>
          <t>Capsule</t>
        </is>
      </c>
      <c r="E16" t="n">
        <v>60</v>
      </c>
      <c r="F16" t="n">
        <v>30</v>
      </c>
      <c r="G16" s="3" t="n">
        <v>29.99</v>
      </c>
      <c r="H16" s="3" t="n">
        <v>40</v>
      </c>
      <c r="I16" s="3">
        <f>IF(F16="","",ROUND(G16/F16,2))</f>
        <v/>
      </c>
      <c r="J16" t="n">
        <v>4.7</v>
      </c>
      <c r="K16" t="inlineStr">
        <is>
          <t>136</t>
        </is>
      </c>
      <c r="L16" t="inlineStr">
        <is>
          <t>Momentous</t>
        </is>
      </c>
      <c r="M16" t="inlineStr">
        <is>
          <t>Premium</t>
        </is>
      </c>
      <c r="N16" t="inlineStr">
        <is>
          <t>25% OFF, 1st order price (subscription)</t>
        </is>
      </c>
      <c r="O16" t="inlineStr">
        <is>
          <t>Minimal white, black type</t>
        </is>
      </c>
      <c r="P16" t="inlineStr">
        <is>
          <t>~servings</t>
        </is>
      </c>
    </row>
    <row r="17">
      <c r="A17" t="n">
        <v>15</v>
      </c>
      <c r="B17" t="inlineStr">
        <is>
          <t>BulkSupplements</t>
        </is>
      </c>
      <c r="C17" t="inlineStr">
        <is>
          <t>Turmeric Curcumin 1000 mg</t>
        </is>
      </c>
      <c r="D17" t="inlineStr">
        <is>
          <t>Capsule</t>
        </is>
      </c>
      <c r="E17" t="n">
        <v>240</v>
      </c>
      <c r="F17" t="n">
        <v>120</v>
      </c>
      <c r="G17" s="3" t="n">
        <v>30.97</v>
      </c>
      <c r="H17" s="3" t="n"/>
      <c r="I17" s="3">
        <f>IF(F17="","",ROUND(G17/F17,2))</f>
        <v/>
      </c>
      <c r="J17" t="n">
        <v>4.6</v>
      </c>
      <c r="K17" t="inlineStr">
        <is>
          <t>1k+</t>
        </is>
      </c>
      <c r="L17" t="inlineStr">
        <is>
          <t>BulkSupplements</t>
        </is>
      </c>
      <c r="M17" t="inlineStr">
        <is>
          <t>Mid</t>
        </is>
      </c>
      <c r="N17" t="inlineStr">
        <is>
          <t>Bulk value</t>
        </is>
      </c>
      <c r="O17" t="inlineStr">
        <is>
          <t>White/orange, loud</t>
        </is>
      </c>
      <c r="P17" t="inlineStr"/>
    </row>
    <row r="18">
      <c r="A18" t="n">
        <v>16</v>
      </c>
      <c r="B18" t="inlineStr">
        <is>
          <t>Paleovalley</t>
        </is>
      </c>
      <c r="C18" t="inlineStr">
        <is>
          <t>Organic Turmeric Complex</t>
        </is>
      </c>
      <c r="D18" t="inlineStr">
        <is>
          <t>Capsule</t>
        </is>
      </c>
      <c r="E18" t="n">
        <v>60</v>
      </c>
      <c r="F18" t="n">
        <v>30</v>
      </c>
      <c r="G18" s="3" t="n">
        <v>34.99</v>
      </c>
      <c r="H18" s="3" t="n"/>
      <c r="I18" s="3">
        <f>IF(F18="","",ROUND(G18/F18,2))</f>
        <v/>
      </c>
      <c r="J18" t="n">
        <v>4.9</v>
      </c>
      <c r="K18" t="inlineStr">
        <is>
          <t>1k+</t>
        </is>
      </c>
      <c r="L18" t="inlineStr">
        <is>
          <t>Paleovalley</t>
        </is>
      </c>
      <c r="M18" t="inlineStr">
        <is>
          <t>Premium</t>
        </is>
      </c>
      <c r="N18" t="inlineStr">
        <is>
          <t>Organic whole food</t>
        </is>
      </c>
      <c r="O18" t="inlineStr">
        <is>
          <t>Orange label</t>
        </is>
      </c>
      <c r="P18" t="inlineStr"/>
    </row>
    <row r="19">
      <c r="A19" t="n">
        <v>17</v>
      </c>
      <c r="B19" t="inlineStr">
        <is>
          <t>BetterVits</t>
        </is>
      </c>
      <c r="C19" t="inlineStr">
        <is>
          <t>Turmeric Complex (black pepper + boswellia)</t>
        </is>
      </c>
      <c r="D19" t="inlineStr">
        <is>
          <t>Capsule</t>
        </is>
      </c>
      <c r="E19" t="n">
        <v>60</v>
      </c>
      <c r="F19" t="n">
        <v>30</v>
      </c>
      <c r="G19" s="3" t="n">
        <v>35</v>
      </c>
      <c r="H19" s="3" t="n"/>
      <c r="I19" s="3">
        <f>IF(F19="","",ROUND(G19/F19,2))</f>
        <v/>
      </c>
      <c r="K19" t="inlineStr"/>
      <c r="L19" t="inlineStr">
        <is>
          <t>BetterVits</t>
        </is>
      </c>
      <c r="M19" t="inlineStr">
        <is>
          <t>Premium</t>
        </is>
      </c>
      <c r="N19" t="inlineStr">
        <is>
          <t>Free delivery; store rating 3.9/5</t>
        </is>
      </c>
      <c r="O19" t="inlineStr">
        <is>
          <t>Pastel, white bottle, orange label</t>
        </is>
      </c>
      <c r="P19" t="inlineStr">
        <is>
          <t>~servings</t>
        </is>
      </c>
    </row>
    <row r="20">
      <c r="A20" t="n">
        <v>18</v>
      </c>
      <c r="B20" t="inlineStr">
        <is>
          <t>Thorne</t>
        </is>
      </c>
      <c r="C20" t="inlineStr">
        <is>
          <t>Curcumin Phytosome 1000 mg</t>
        </is>
      </c>
      <c r="D20" t="inlineStr">
        <is>
          <t>Capsule</t>
        </is>
      </c>
      <c r="E20" t="n">
        <v>60</v>
      </c>
      <c r="F20" t="n">
        <v>30</v>
      </c>
      <c r="G20" s="3" t="n">
        <v>36</v>
      </c>
      <c r="H20" s="3" t="n"/>
      <c r="I20" s="3">
        <f>IF(F20="","",ROUND(G20/F20,2))</f>
        <v/>
      </c>
      <c r="J20" t="n">
        <v>4.8</v>
      </c>
      <c r="K20" t="inlineStr">
        <is>
          <t>824</t>
        </is>
      </c>
      <c r="L20" t="inlineStr">
        <is>
          <t>Thorne</t>
        </is>
      </c>
      <c r="M20" t="inlineStr">
        <is>
          <t>Premium</t>
        </is>
      </c>
      <c r="N20" t="inlineStr">
        <is>
          <t>Phytosome (clinical form)</t>
        </is>
      </c>
      <c r="O20" t="inlineStr">
        <is>
          <t>Minimal white</t>
        </is>
      </c>
      <c r="P20" t="inlineStr"/>
    </row>
    <row r="21">
      <c r="A21" t="n">
        <v>19</v>
      </c>
      <c r="B21" t="inlineStr">
        <is>
          <t>Thorne</t>
        </is>
      </c>
      <c r="C21" t="inlineStr">
        <is>
          <t>Curcumin Phytosome 1000 mg</t>
        </is>
      </c>
      <c r="D21" t="inlineStr">
        <is>
          <t>Capsule</t>
        </is>
      </c>
      <c r="E21" t="n">
        <v>120</v>
      </c>
      <c r="F21" t="n">
        <v>60</v>
      </c>
      <c r="G21" s="3" t="n">
        <v>64</v>
      </c>
      <c r="H21" s="3" t="n"/>
      <c r="I21" s="3">
        <f>IF(F21="","",ROUND(G21/F21,2))</f>
        <v/>
      </c>
      <c r="J21" t="n">
        <v>4.8</v>
      </c>
      <c r="K21" t="inlineStr">
        <is>
          <t>2k+</t>
        </is>
      </c>
      <c r="L21" t="inlineStr">
        <is>
          <t>Thorne</t>
        </is>
      </c>
      <c r="M21" t="inlineStr">
        <is>
          <t>High</t>
        </is>
      </c>
      <c r="N21" t="inlineStr">
        <is>
          <t>Phytosome, big pack</t>
        </is>
      </c>
      <c r="O21" t="inlineStr">
        <is>
          <t>Minimal white</t>
        </is>
      </c>
      <c r="P21" t="inlineStr"/>
    </row>
    <row r="22">
      <c r="A22" t="n">
        <v>20</v>
      </c>
      <c r="B22" t="inlineStr">
        <is>
          <t>The Absorption Co.</t>
        </is>
      </c>
      <c r="C22" t="inlineStr">
        <is>
          <t>Curcumin 500 mg</t>
        </is>
      </c>
      <c r="D22" t="inlineStr">
        <is>
          <t>Capsule</t>
        </is>
      </c>
      <c r="E22" t="n">
        <v>60</v>
      </c>
      <c r="F22" t="n">
        <v>60</v>
      </c>
      <c r="G22" s="3" t="n">
        <v>36.75</v>
      </c>
      <c r="H22" s="3" t="n">
        <v>49</v>
      </c>
      <c r="I22" s="3">
        <f>IF(F22="","",ROUND(G22/F22,2))</f>
        <v/>
      </c>
      <c r="K22" t="inlineStr"/>
      <c r="L22" t="inlineStr">
        <is>
          <t>Absorption Co.</t>
        </is>
      </c>
      <c r="M22" t="inlineStr">
        <is>
          <t>Premium</t>
        </is>
      </c>
      <c r="N22" t="inlineStr">
        <is>
          <t>149x higher absorption, SALE</t>
        </is>
      </c>
      <c r="O22" t="inlineStr">
        <is>
          <t>Bold white tub, orange block</t>
        </is>
      </c>
      <c r="P22" t="inlineStr">
        <is>
          <t>~servings</t>
        </is>
      </c>
    </row>
    <row r="23">
      <c r="A23" t="n">
        <v>21</v>
      </c>
      <c r="B23" t="inlineStr">
        <is>
          <t>NAOMI</t>
        </is>
      </c>
      <c r="C23" t="inlineStr">
        <is>
          <t>Turmeric Curcumin High Potency 1200 mg</t>
        </is>
      </c>
      <c r="D23" t="inlineStr">
        <is>
          <t>Capsule</t>
        </is>
      </c>
      <c r="E23" t="n">
        <v>60</v>
      </c>
      <c r="F23" t="n">
        <v>30</v>
      </c>
      <c r="G23" s="3" t="n">
        <v>39.99</v>
      </c>
      <c r="H23" s="3" t="n"/>
      <c r="I23" s="3">
        <f>IF(F23="","",ROUND(G23/F23,2))</f>
        <v/>
      </c>
      <c r="J23" t="n">
        <v>4.8</v>
      </c>
      <c r="K23" t="inlineStr">
        <is>
          <t>48</t>
        </is>
      </c>
      <c r="L23" t="inlineStr">
        <is>
          <t>NAOMI</t>
        </is>
      </c>
      <c r="M23" t="inlineStr">
        <is>
          <t>Premium</t>
        </is>
      </c>
      <c r="N23" t="inlineStr">
        <is>
          <t>#1 in title, 90-day returns, Clinicians' Choice</t>
        </is>
      </c>
      <c r="O23" t="inlineStr">
        <is>
          <t>Black bottle, purple + gold</t>
        </is>
      </c>
      <c r="P23" t="inlineStr"/>
    </row>
    <row r="24">
      <c r="A24" t="n">
        <v>22</v>
      </c>
      <c r="B24" t="inlineStr">
        <is>
          <t>Gaia Herbs</t>
        </is>
      </c>
      <c r="C24" t="inlineStr">
        <is>
          <t>Turmeric Supreme Extra Strength</t>
        </is>
      </c>
      <c r="D24" t="inlineStr">
        <is>
          <t>Liquid phyto-cap</t>
        </is>
      </c>
      <c r="E24" t="n">
        <v>120</v>
      </c>
      <c r="F24" t="n">
        <v>90</v>
      </c>
      <c r="G24" s="3" t="n">
        <v>49.49</v>
      </c>
      <c r="H24" s="3" t="n"/>
      <c r="I24" s="3">
        <f>IF(F24="","",ROUND(G24/F24,2))</f>
        <v/>
      </c>
      <c r="J24" t="n">
        <v>4.7</v>
      </c>
      <c r="K24" t="inlineStr">
        <is>
          <t>1k+</t>
        </is>
      </c>
      <c r="L24" t="inlineStr">
        <is>
          <t>Gaia</t>
        </is>
      </c>
      <c r="M24" t="inlineStr">
        <is>
          <t>High</t>
        </is>
      </c>
      <c r="N24" t="inlineStr">
        <is>
          <t>Extra strength</t>
        </is>
      </c>
      <c r="O24" t="inlineStr">
        <is>
          <t>Amber + green</t>
        </is>
      </c>
      <c r="P24" t="inlineStr">
        <is>
          <t>~servings</t>
        </is>
      </c>
    </row>
    <row r="25">
      <c r="A25" t="n">
        <v>23</v>
      </c>
      <c r="B25" t="inlineStr">
        <is>
          <t>Nature's Sunshine</t>
        </is>
      </c>
      <c r="C25" t="inlineStr">
        <is>
          <t>Turmeric Curcumin 1000 mg</t>
        </is>
      </c>
      <c r="D25" t="inlineStr">
        <is>
          <t>Capsule</t>
        </is>
      </c>
      <c r="E25" t="n">
        <v>60</v>
      </c>
      <c r="F25" t="n">
        <v>30</v>
      </c>
      <c r="G25" s="3" t="n">
        <v>59.95</v>
      </c>
      <c r="H25" s="3" t="n"/>
      <c r="I25" s="3">
        <f>IF(F25="","",ROUND(G25/F25,2))</f>
        <v/>
      </c>
      <c r="K25" t="inlineStr"/>
      <c r="L25" t="inlineStr">
        <is>
          <t>Nature's Sunshine</t>
        </is>
      </c>
      <c r="M25" t="inlineStr">
        <is>
          <t>High</t>
        </is>
      </c>
      <c r="N25" t="inlineStr">
        <is>
          <t>Free delivery, trending</t>
        </is>
      </c>
      <c r="O25" t="inlineStr">
        <is>
          <t>Amber + orange</t>
        </is>
      </c>
      <c r="P25" t="inlineStr">
        <is>
          <t>~servings</t>
        </is>
      </c>
    </row>
    <row r="26">
      <c r="A26" t="n">
        <v>24</v>
      </c>
      <c r="B26" t="inlineStr">
        <is>
          <t>Vimergy</t>
        </is>
      </c>
      <c r="C26" t="inlineStr">
        <is>
          <t>Curcumin with Turmeric</t>
        </is>
      </c>
      <c r="D26" t="inlineStr">
        <is>
          <t>Capsule</t>
        </is>
      </c>
      <c r="E26" t="n">
        <v>270</v>
      </c>
      <c r="F26" t="n">
        <v>135</v>
      </c>
      <c r="G26" s="3" t="n">
        <v>99</v>
      </c>
      <c r="H26" s="3" t="n"/>
      <c r="I26" s="3">
        <f>IF(F26="","",ROUND(G26/F26,2))</f>
        <v/>
      </c>
      <c r="J26" t="n">
        <v>4.8</v>
      </c>
      <c r="K26" t="inlineStr"/>
      <c r="L26" t="inlineStr">
        <is>
          <t>vimergy</t>
        </is>
      </c>
      <c r="M26" t="inlineStr">
        <is>
          <t>High</t>
        </is>
      </c>
      <c r="N26" t="inlineStr">
        <is>
          <t>Big pack</t>
        </is>
      </c>
      <c r="O26" t="inlineStr">
        <is>
          <t>White/orange</t>
        </is>
      </c>
      <c r="P26" t="inlineStr">
        <is>
          <t>~servings</t>
        </is>
      </c>
    </row>
    <row r="27">
      <c r="A27" t="n">
        <v>25</v>
      </c>
      <c r="B27" t="inlineStr">
        <is>
          <t>Mara Labs</t>
        </is>
      </c>
      <c r="C27" t="inlineStr">
        <is>
          <t>CurcElite + BrocElite bundle</t>
        </is>
      </c>
      <c r="D27" t="inlineStr">
        <is>
          <t>Bundle</t>
        </is>
      </c>
      <c r="G27" s="3" t="n">
        <v>139.98</v>
      </c>
      <c r="H27" s="3" t="n"/>
      <c r="I27" s="3">
        <f>IF(F27="","",ROUND(G27/F27,2))</f>
        <v/>
      </c>
      <c r="K27" t="inlineStr"/>
      <c r="L27" t="inlineStr">
        <is>
          <t>Mara Labs</t>
        </is>
      </c>
      <c r="M27" t="inlineStr">
        <is>
          <t>High</t>
        </is>
      </c>
      <c r="N27" t="inlineStr">
        <is>
          <t>Bundle, trending brand</t>
        </is>
      </c>
      <c r="O27" t="inlineStr">
        <is>
          <t>Green/orange</t>
        </is>
      </c>
      <c r="P27" t="inlineStr"/>
    </row>
    <row r="28">
      <c r="A28" t="n">
        <v>26</v>
      </c>
      <c r="B28" t="inlineStr">
        <is>
          <t>Noovit (today)</t>
        </is>
      </c>
      <c r="C28" t="inlineStr">
        <is>
          <t>Turmeric Complex</t>
        </is>
      </c>
      <c r="D28" t="inlineStr">
        <is>
          <t>Capsule</t>
        </is>
      </c>
      <c r="E28" t="n">
        <v>60</v>
      </c>
      <c r="F28" t="n">
        <v>30</v>
      </c>
      <c r="G28" s="3" t="n">
        <v>40</v>
      </c>
      <c r="H28" s="3" t="n"/>
      <c r="I28" s="3">
        <f>IF(F28="","",ROUND(G28/F28,2))</f>
        <v/>
      </c>
      <c r="K28" t="inlineStr"/>
      <c r="L28" t="inlineStr">
        <is>
          <t>noovit.com</t>
        </is>
      </c>
      <c r="M28" t="inlineStr">
        <is>
          <t>Premium</t>
        </is>
      </c>
      <c r="N28" t="inlineStr">
        <is>
          <t>Evidence-graded (planned)</t>
        </is>
      </c>
      <c r="O28" t="inlineStr">
        <is>
          <t>White bottle, orange band</t>
        </is>
      </c>
      <c r="P28" t="inlineStr">
        <is>
          <t>Sub $35, 6-pack $30/bottle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1" customWidth="1" min="3" max="3"/>
    <col width="13" customWidth="1" min="4" max="4"/>
    <col width="11" customWidth="1" min="5" max="5"/>
    <col width="14" customWidth="1" min="6" max="6"/>
    <col width="52" customWidth="1" min="7" max="7"/>
    <col width="46" customWidth="1" min="8" max="8"/>
  </cols>
  <sheetData>
    <row r="1">
      <c r="A1" s="2" t="inlineStr">
        <is>
          <t>Tier</t>
        </is>
      </c>
      <c r="B1" s="2" t="inlineStr">
        <is>
          <t>Listings</t>
        </is>
      </c>
      <c r="C1" s="2" t="inlineStr">
        <is>
          <t>Min price $</t>
        </is>
      </c>
      <c r="D1" s="2" t="inlineStr">
        <is>
          <t>Median price $</t>
        </is>
      </c>
      <c r="E1" s="2" t="inlineStr">
        <is>
          <t>Max price $</t>
        </is>
      </c>
      <c r="F1" s="2" t="inlineStr">
        <is>
          <t>Avg price/day $</t>
        </is>
      </c>
      <c r="G1" s="2" t="inlineStr">
        <is>
          <t>Who</t>
        </is>
      </c>
      <c r="H1" s="2" t="inlineStr">
        <is>
          <t>Implication for Noovit</t>
        </is>
      </c>
    </row>
    <row r="2">
      <c r="A2" t="inlineStr">
        <is>
          <t>Value</t>
        </is>
      </c>
      <c r="B2">
        <f>COUNTIF('Turmeric competitors'!M$3:M$28,A2)</f>
        <v/>
      </c>
      <c r="C2" s="3">
        <f>MINIFS('Turmeric competitors'!G$3:G$28,'Turmeric competitors'!M$3:M$28,A2)</f>
        <v/>
      </c>
      <c r="D2" s="3">
        <f>MEDIAN(FILTER('Turmeric competitors'!G$3:G$28,'Turmeric competitors'!M$3:M$28=A2))</f>
        <v/>
      </c>
      <c r="E2" s="3">
        <f>MAXIFS('Turmeric competitors'!G$3:G$28,'Turmeric competitors'!M$3:M$28,A2)</f>
        <v/>
      </c>
      <c r="F2" s="3">
        <f>IFERROR(ROUND(AVERAGEIFS('Turmeric competitors'!I$3:I$28,'Turmeric competitors'!M$3:M$28,A2),2),"")</f>
        <v/>
      </c>
      <c r="G2" t="inlineStr">
        <is>
          <t>Under $15–17, big brands, iHerb, resellers</t>
        </is>
      </c>
      <c r="H2" t="inlineStr">
        <is>
          <t>Don't compete: Supliful landed $11.05</t>
        </is>
      </c>
    </row>
    <row r="3">
      <c r="A3" t="inlineStr">
        <is>
          <t>Mid</t>
        </is>
      </c>
      <c r="B3">
        <f>COUNTIF('Turmeric competitors'!M$3:M$28,A3)</f>
        <v/>
      </c>
      <c r="C3" s="3">
        <f>MINIFS('Turmeric competitors'!G$3:G$28,'Turmeric competitors'!M$3:M$28,A3)</f>
        <v/>
      </c>
      <c r="D3" s="3">
        <f>MEDIAN(FILTER('Turmeric competitors'!G$3:G$28,'Turmeric competitors'!M$3:M$28=A3))</f>
        <v/>
      </c>
      <c r="E3" s="3">
        <f>MAXIFS('Turmeric competitors'!G$3:G$28,'Turmeric competitors'!M$3:M$28,A3)</f>
        <v/>
      </c>
      <c r="F3" s="3">
        <f>IFERROR(ROUND(AVERAGEIFS('Turmeric competitors'!I$3:I$28,'Turmeric competitors'!M$3:M$28,A3),2),"")</f>
        <v/>
      </c>
      <c r="G3" t="inlineStr">
        <is>
          <t>Organic, chews, liquid, bulk</t>
        </is>
      </c>
      <c r="H3" t="inlineStr">
        <is>
          <t>Not our lane</t>
        </is>
      </c>
    </row>
    <row r="4">
      <c r="A4" t="inlineStr">
        <is>
          <t>Premium</t>
        </is>
      </c>
      <c r="B4">
        <f>COUNTIF('Turmeric competitors'!M$3:M$28,A4)</f>
        <v/>
      </c>
      <c r="C4" s="3">
        <f>MINIFS('Turmeric competitors'!G$3:G$28,'Turmeric competitors'!M$3:M$28,A4)</f>
        <v/>
      </c>
      <c r="D4" s="3">
        <f>MEDIAN(FILTER('Turmeric competitors'!G$3:G$28,'Turmeric competitors'!M$3:M$28=A4))</f>
        <v/>
      </c>
      <c r="E4" s="3">
        <f>MAXIFS('Turmeric competitors'!G$3:G$28,'Turmeric competitors'!M$3:M$28,A4)</f>
        <v/>
      </c>
      <c r="F4" s="3">
        <f>IFERROR(ROUND(AVERAGEIFS('Turmeric competitors'!I$3:I$28,'Turmeric competitors'!M$3:M$28,A4),2),"")</f>
        <v/>
      </c>
      <c r="G4" t="inlineStr">
        <is>
          <t>Momentous, Paleovalley, BetterVits, Thorne, Absorption, NAOMI</t>
        </is>
      </c>
      <c r="H4" t="inlineStr">
        <is>
          <t>OUR TIER: $29–40 per bottle, $1.00–1.33/day</t>
        </is>
      </c>
    </row>
    <row r="5">
      <c r="A5" t="inlineStr">
        <is>
          <t>High</t>
        </is>
      </c>
      <c r="B5">
        <f>COUNTIF('Turmeric competitors'!M$3:M$28,A5)</f>
        <v/>
      </c>
      <c r="C5" s="3">
        <f>MINIFS('Turmeric competitors'!G$3:G$28,'Turmeric competitors'!M$3:M$28,A5)</f>
        <v/>
      </c>
      <c r="D5" s="3">
        <f>MEDIAN(FILTER('Turmeric competitors'!G$3:G$28,'Turmeric competitors'!M$3:M$28=A5))</f>
        <v/>
      </c>
      <c r="E5" s="3">
        <f>MAXIFS('Turmeric competitors'!G$3:G$28,'Turmeric competitors'!M$3:M$28,A5)</f>
        <v/>
      </c>
      <c r="F5" s="3">
        <f>IFERROR(ROUND(AVERAGEIFS('Turmeric competitors'!I$3:I$28,'Turmeric competitors'!M$3:M$28,A5),2),"")</f>
        <v/>
      </c>
      <c r="G5" t="inlineStr">
        <is>
          <t>Gaia, Nature's Sunshine, big packs, bundles</t>
        </is>
      </c>
      <c r="H5" t="inlineStr">
        <is>
          <t>Bundles and big packs live here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62" customWidth="1" min="1" max="1"/>
    <col width="10" customWidth="1" min="2" max="2"/>
    <col width="12" customWidth="1" min="3" max="3"/>
    <col width="12" customWidth="1" min="4" max="4"/>
    <col width="12" customWidth="1" min="5" max="5"/>
    <col width="9" customWidth="1" min="6" max="6"/>
    <col width="12" customWidth="1" min="7" max="7"/>
    <col width="10" customWidth="1" min="8" max="8"/>
    <col width="12" customWidth="1" min="9" max="9"/>
    <col width="11" customWidth="1" min="10" max="10"/>
    <col width="10" customWidth="1" min="11" max="11"/>
    <col width="16" customWidth="1" min="12" max="12"/>
  </cols>
  <sheetData>
    <row r="1">
      <c r="A1" s="4" t="inlineStr">
        <is>
          <t>Turmeric 60 caps via Supliful. Orange cells are inputs: change them and everything recalculates.</t>
        </is>
      </c>
    </row>
    <row r="3">
      <c r="A3" t="inlineStr">
        <is>
          <t>Landed cost per bottle, free plan $ (product + shipping + fulfilment + processing)</t>
        </is>
      </c>
      <c r="B3" s="5" t="n">
        <v>11.05</v>
      </c>
    </row>
    <row r="4">
      <c r="A4" t="inlineStr">
        <is>
          <t>Landed cost per bottle, Pro plan $</t>
        </is>
      </c>
      <c r="B4" s="5" t="n">
        <v>8</v>
      </c>
    </row>
    <row r="5">
      <c r="A5" t="inlineStr">
        <is>
          <t>Extra bottle in same order $ (product only, estimate; confirm multi-unit shipping)</t>
        </is>
      </c>
      <c r="B5" s="5" t="n">
        <v>4.05</v>
      </c>
    </row>
    <row r="6">
      <c r="A6" t="inlineStr">
        <is>
          <t>Stripe fee %</t>
        </is>
      </c>
      <c r="B6" s="6" t="n">
        <v>0.029</v>
      </c>
    </row>
    <row r="7">
      <c r="A7" t="inlineStr">
        <is>
          <t>Stripe fixed fee per order $</t>
        </is>
      </c>
      <c r="B7" s="5" t="n">
        <v>0.3</v>
      </c>
    </row>
    <row r="8">
      <c r="A8" t="inlineStr">
        <is>
          <t>Ad cost to win a new customer $ (estimate)</t>
        </is>
      </c>
      <c r="B8" s="5" t="n">
        <v>18</v>
      </c>
    </row>
    <row r="9">
      <c r="A9" t="inlineStr">
        <is>
          <t>Supliful Pro monthly fee $</t>
        </is>
      </c>
      <c r="B9" s="5" t="n">
        <v>69</v>
      </c>
    </row>
    <row r="11">
      <c r="A11" s="4" t="inlineStr">
        <is>
          <t>Pro break-even (bottles per month)</t>
        </is>
      </c>
      <c r="B11">
        <f>ROUND(B9/(B3-B4),0)</f>
        <v/>
      </c>
    </row>
    <row r="13">
      <c r="A13" s="7" t="inlineStr">
        <is>
          <t>Offer</t>
        </is>
      </c>
      <c r="B13" s="7" t="inlineStr">
        <is>
          <t>Bottles in order</t>
        </is>
      </c>
      <c r="C13" s="7" t="inlineStr">
        <is>
          <t>Price per bottle $</t>
        </is>
      </c>
      <c r="D13" s="7" t="inlineStr">
        <is>
          <t>Order revenue $</t>
        </is>
      </c>
      <c r="E13" s="7" t="inlineStr">
        <is>
          <t>Landed cost, free $</t>
        </is>
      </c>
      <c r="F13" s="7" t="inlineStr">
        <is>
          <t>Stripe $</t>
        </is>
      </c>
      <c r="G13" s="7" t="inlineStr">
        <is>
          <t>Profit, free $</t>
        </is>
      </c>
      <c r="H13" s="7" t="inlineStr">
        <is>
          <t>Margin, free</t>
        </is>
      </c>
      <c r="I13" s="7" t="inlineStr">
        <is>
          <t>Landed cost, Pro $</t>
        </is>
      </c>
      <c r="J13" s="7" t="inlineStr">
        <is>
          <t>Profit, Pro $</t>
        </is>
      </c>
      <c r="K13" s="7" t="inlineStr">
        <is>
          <t>Margin, Pro</t>
        </is>
      </c>
      <c r="L13" s="7" t="inlineStr">
        <is>
          <t>Profit after ad cost (first order, free) $</t>
        </is>
      </c>
    </row>
    <row r="14">
      <c r="A14" t="inlineStr">
        <is>
          <t>One-time (today)</t>
        </is>
      </c>
      <c r="B14" s="8" t="n">
        <v>1</v>
      </c>
      <c r="C14" s="5" t="n">
        <v>40</v>
      </c>
      <c r="D14" s="3">
        <f>B14*C14</f>
        <v/>
      </c>
      <c r="E14" s="3">
        <f>$B$3+(B14-1)*$B$5</f>
        <v/>
      </c>
      <c r="F14" s="3">
        <f>ROUND(D14*$B$6+$B$7,2)</f>
        <v/>
      </c>
      <c r="G14" s="3">
        <f>D14-E14-F14</f>
        <v/>
      </c>
      <c r="H14" s="9">
        <f>G14/D14</f>
        <v/>
      </c>
      <c r="I14" s="3">
        <f>$B$4+(B14-1)*$B$5</f>
        <v/>
      </c>
      <c r="J14" s="3">
        <f>D14-I14-F14</f>
        <v/>
      </c>
      <c r="K14" s="9">
        <f>J14/D14</f>
        <v/>
      </c>
      <c r="L14" s="3">
        <f>G14-$B$8</f>
        <v/>
      </c>
    </row>
    <row r="15">
      <c r="A15" t="inlineStr">
        <is>
          <t>One-time (suggested)</t>
        </is>
      </c>
      <c r="B15" s="8" t="n">
        <v>1</v>
      </c>
      <c r="C15" s="5" t="n">
        <v>36</v>
      </c>
      <c r="D15" s="3">
        <f>B15*C15</f>
        <v/>
      </c>
      <c r="E15" s="3">
        <f>$B$3+(B15-1)*$B$5</f>
        <v/>
      </c>
      <c r="F15" s="3">
        <f>ROUND(D15*$B$6+$B$7,2)</f>
        <v/>
      </c>
      <c r="G15" s="3">
        <f>D15-E15-F15</f>
        <v/>
      </c>
      <c r="H15" s="9">
        <f>G15/D15</f>
        <v/>
      </c>
      <c r="I15" s="3">
        <f>$B$4+(B15-1)*$B$5</f>
        <v/>
      </c>
      <c r="J15" s="3">
        <f>D15-I15-F15</f>
        <v/>
      </c>
      <c r="K15" s="9">
        <f>J15/D15</f>
        <v/>
      </c>
      <c r="L15" s="3">
        <f>G15-$B$8</f>
        <v/>
      </c>
    </row>
    <row r="16">
      <c r="A16" t="inlineStr">
        <is>
          <t>Subscribe (today)</t>
        </is>
      </c>
      <c r="B16" s="8" t="n">
        <v>1</v>
      </c>
      <c r="C16" s="5" t="n">
        <v>35</v>
      </c>
      <c r="D16" s="3">
        <f>B16*C16</f>
        <v/>
      </c>
      <c r="E16" s="3">
        <f>$B$3+(B16-1)*$B$5</f>
        <v/>
      </c>
      <c r="F16" s="3">
        <f>ROUND(D16*$B$6+$B$7,2)</f>
        <v/>
      </c>
      <c r="G16" s="3">
        <f>D16-E16-F16</f>
        <v/>
      </c>
      <c r="H16" s="9">
        <f>G16/D16</f>
        <v/>
      </c>
      <c r="I16" s="3">
        <f>$B$4+(B16-1)*$B$5</f>
        <v/>
      </c>
      <c r="J16" s="3">
        <f>D16-I16-F16</f>
        <v/>
      </c>
      <c r="K16" s="9">
        <f>J16/D16</f>
        <v/>
      </c>
      <c r="L16" s="3">
        <f>G16-$B$8</f>
        <v/>
      </c>
    </row>
    <row r="17">
      <c r="A17" t="inlineStr">
        <is>
          <t>Subscribe (suggested)</t>
        </is>
      </c>
      <c r="B17" s="8" t="n">
        <v>1</v>
      </c>
      <c r="C17" s="5" t="n">
        <v>32</v>
      </c>
      <c r="D17" s="3">
        <f>B17*C17</f>
        <v/>
      </c>
      <c r="E17" s="3">
        <f>$B$3+(B17-1)*$B$5</f>
        <v/>
      </c>
      <c r="F17" s="3">
        <f>ROUND(D17*$B$6+$B$7,2)</f>
        <v/>
      </c>
      <c r="G17" s="3">
        <f>D17-E17-F17</f>
        <v/>
      </c>
      <c r="H17" s="9">
        <f>G17/D17</f>
        <v/>
      </c>
      <c r="I17" s="3">
        <f>$B$4+(B17-1)*$B$5</f>
        <v/>
      </c>
      <c r="J17" s="3">
        <f>D17-I17-F17</f>
        <v/>
      </c>
      <c r="K17" s="9">
        <f>J17/D17</f>
        <v/>
      </c>
      <c r="L17" s="3">
        <f>G17-$B$8</f>
        <v/>
      </c>
    </row>
    <row r="18">
      <c r="A18" t="inlineStr">
        <is>
          <t>Subscribe (low)</t>
        </is>
      </c>
      <c r="B18" s="8" t="n">
        <v>1</v>
      </c>
      <c r="C18" s="5" t="n">
        <v>30</v>
      </c>
      <c r="D18" s="3">
        <f>B18*C18</f>
        <v/>
      </c>
      <c r="E18" s="3">
        <f>$B$3+(B18-1)*$B$5</f>
        <v/>
      </c>
      <c r="F18" s="3">
        <f>ROUND(D18*$B$6+$B$7,2)</f>
        <v/>
      </c>
      <c r="G18" s="3">
        <f>D18-E18-F18</f>
        <v/>
      </c>
      <c r="H18" s="9">
        <f>G18/D18</f>
        <v/>
      </c>
      <c r="I18" s="3">
        <f>$B$4+(B18-1)*$B$5</f>
        <v/>
      </c>
      <c r="J18" s="3">
        <f>D18-I18-F18</f>
        <v/>
      </c>
      <c r="K18" s="9">
        <f>J18/D18</f>
        <v/>
      </c>
      <c r="L18" s="3">
        <f>G18-$B$8</f>
        <v/>
      </c>
    </row>
    <row r="19">
      <c r="A19" t="inlineStr">
        <is>
          <t>3-pack one-time</t>
        </is>
      </c>
      <c r="B19" s="8" t="n">
        <v>3</v>
      </c>
      <c r="C19" s="5" t="n">
        <v>33</v>
      </c>
      <c r="D19" s="3">
        <f>B19*C19</f>
        <v/>
      </c>
      <c r="E19" s="3">
        <f>$B$3+(B19-1)*$B$5</f>
        <v/>
      </c>
      <c r="F19" s="3">
        <f>ROUND(D19*$B$6+$B$7,2)</f>
        <v/>
      </c>
      <c r="G19" s="3">
        <f>D19-E19-F19</f>
        <v/>
      </c>
      <c r="H19" s="9">
        <f>G19/D19</f>
        <v/>
      </c>
      <c r="I19" s="3">
        <f>$B$4+(B19-1)*$B$5</f>
        <v/>
      </c>
      <c r="J19" s="3">
        <f>D19-I19-F19</f>
        <v/>
      </c>
      <c r="K19" s="9">
        <f>J19/D19</f>
        <v/>
      </c>
      <c r="L19" s="3">
        <f>G19-$B$8</f>
        <v/>
      </c>
    </row>
    <row r="20">
      <c r="A20" t="inlineStr">
        <is>
          <t>6-pack one-time</t>
        </is>
      </c>
      <c r="B20" s="8" t="n">
        <v>6</v>
      </c>
      <c r="C20" s="5" t="n">
        <v>30</v>
      </c>
      <c r="D20" s="3">
        <f>B20*C20</f>
        <v/>
      </c>
      <c r="E20" s="3">
        <f>$B$3+(B20-1)*$B$5</f>
        <v/>
      </c>
      <c r="F20" s="3">
        <f>ROUND(D20*$B$6+$B$7,2)</f>
        <v/>
      </c>
      <c r="G20" s="3">
        <f>D20-E20-F20</f>
        <v/>
      </c>
      <c r="H20" s="9">
        <f>G20/D20</f>
        <v/>
      </c>
      <c r="I20" s="3">
        <f>$B$4+(B20-1)*$B$5</f>
        <v/>
      </c>
      <c r="J20" s="3">
        <f>D20-I20-F20</f>
        <v/>
      </c>
      <c r="K20" s="9">
        <f>J20/D20</f>
        <v/>
      </c>
      <c r="L20" s="3">
        <f>G20-$B$8</f>
        <v/>
      </c>
    </row>
    <row r="21">
      <c r="A21" t="inlineStr">
        <is>
          <t>Supliful suggested retail</t>
        </is>
      </c>
      <c r="B21" s="8" t="n">
        <v>1</v>
      </c>
      <c r="C21" s="5" t="n">
        <v>25.9</v>
      </c>
      <c r="D21" s="3">
        <f>B21*C21</f>
        <v/>
      </c>
      <c r="E21" s="3">
        <f>$B$3+(B21-1)*$B$5</f>
        <v/>
      </c>
      <c r="F21" s="3">
        <f>ROUND(D21*$B$6+$B$7,2)</f>
        <v/>
      </c>
      <c r="G21" s="3">
        <f>D21-E21-F21</f>
        <v/>
      </c>
      <c r="H21" s="9">
        <f>G21/D21</f>
        <v/>
      </c>
      <c r="I21" s="3">
        <f>$B$4+(B21-1)*$B$5</f>
        <v/>
      </c>
      <c r="J21" s="3">
        <f>D21-I21-F21</f>
        <v/>
      </c>
      <c r="K21" s="9">
        <f>J21/D21</f>
        <v/>
      </c>
      <c r="L21" s="3">
        <f>G21-$B$8</f>
        <v/>
      </c>
    </row>
    <row r="23">
      <c r="A23" s="10" t="inlineStr">
        <is>
          <t>Notes</t>
        </is>
      </c>
    </row>
    <row r="24">
      <c r="A24" s="1" t="inlineStr">
        <is>
          <t>Supliful shows $4.05 – $11.05: $4.05 is the product, $11.05 is the all-in cost of one bottle delivered.</t>
        </is>
      </c>
    </row>
    <row r="25">
      <c r="A25" s="1" t="inlineStr">
        <is>
          <t>Extra bottles in the same order are estimated at the product cost only. Confirm Supliful's multi-unit shipping and update B5.</t>
        </is>
      </c>
    </row>
    <row r="26">
      <c r="A26" s="1" t="inlineStr">
        <is>
          <t>Ad cost is a placeholder for paid Google Shopping; subscriptions recover it over repeat orders.</t>
        </is>
      </c>
    </row>
    <row r="27">
      <c r="A27" s="1" t="inlineStr">
        <is>
          <t>Competitor prices from Google Shopping on 28 Oct 2026; they change often.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2026-10-28T01:46:14Z</dcterms:created>
  <dcterms:modified xsi:type="dcterms:W3CDTF">2026-10-28T01:46:14Z</dcterms:modified>
</cp:coreProperties>
</file>